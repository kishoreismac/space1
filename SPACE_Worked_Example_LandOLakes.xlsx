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cognitytechnologies.sharepoint.com/sites/Training/Shared Documents/General/Internal/SDLC/Workshops/SPACE Framework Developer Survey/"/>
    </mc:Choice>
  </mc:AlternateContent>
  <xr:revisionPtr revIDLastSave="5" documentId="11_30920D3C7E73A102D28E3CAAF26DAF7E99110BBD" xr6:coauthVersionLast="47" xr6:coauthVersionMax="47" xr10:uidLastSave="{85510E20-5957-46A2-84EE-61B7A5857EC6}"/>
  <bookViews>
    <workbookView xWindow="-28920" yWindow="2205" windowWidth="29040" windowHeight="15720" firstSheet="7" activeTab="7" xr2:uid="{00000000-000D-0000-FFFF-FFFF00000000}"/>
  </bookViews>
  <sheets>
    <sheet name="README" sheetId="1" r:id="rId1"/>
    <sheet name="1 · Survey Questions" sheetId="2" r:id="rId2"/>
    <sheet name="2 · Survey Data Entry" sheetId="3" r:id="rId3"/>
    <sheet name="3 · P1 Score Triage" sheetId="4" r:id="rId4"/>
    <sheet name="4 · P2 Open Text" sheetId="5" r:id="rId5"/>
    <sheet name="5 · P3 Cross-Validate" sheetId="6" r:id="rId6"/>
    <sheet name="6 · P4 Journey Map" sheetId="7" r:id="rId7"/>
    <sheet name="7 · P5 Registry + AI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8" l="1"/>
  <c r="G17" i="8"/>
  <c r="G16" i="8"/>
  <c r="G15" i="8"/>
  <c r="E6" i="5"/>
  <c r="D6" i="5"/>
  <c r="E5" i="5"/>
  <c r="D5" i="5"/>
  <c r="E4" i="5"/>
  <c r="D4" i="5"/>
  <c r="D3" i="5"/>
  <c r="E3" i="5" s="1"/>
</calcChain>
</file>

<file path=xl/sharedStrings.xml><?xml version="1.0" encoding="utf-8"?>
<sst xmlns="http://schemas.openxmlformats.org/spreadsheetml/2006/main" count="595" uniqueCount="385">
  <si>
    <t>SPACE Survey — WORKED EXAMPLE · Land O'Lakes Engineering Q2 2025</t>
  </si>
  <si>
    <t>▶  PURPOSE  —  This workbook contains the complete SPACE Framework five-phase analysis system for enterprise workshops.</t>
  </si>
  <si>
    <t>▶  SHEETS  —  1-Survey Questions · 2-Survey Data Entry · 3-P1 Score Triage · 4-P2 Open Text · 5-P3 Cross-Validate · 6-P4 Journey Map · 7-P5 Registry &amp; AI Feasibility</t>
  </si>
  <si>
    <t>▶  HOW TO USE  —  Step 1: Distribute the Survey Questions sheet (or use the HTML system). Step 2: Enter responses in Survey Data Entry. Step 3: Review auto-calculated dimension scores. Step 4: Run Phases 1–5 in sequence.</t>
  </si>
  <si>
    <t>▶  REVERSE SCORING  —  Questions marked YES-Rev are auto-reverse-scored: formula 6-raw_score. This ensures 5 always = best outcome.</t>
  </si>
  <si>
    <t>▶  SCORE BANDS  —  1.0-2.0=Critical(act now) · 2.1-2.9=Significant(investigate 2 weeks) · 3.0-3.4=Moderate(monitor) · 3.5-4.2=Healthy · 4.3-5.0=Excellent</t>
  </si>
  <si>
    <t>▶  TRIANGULATION  —  A blocker enters the registry ONLY when 2+ independent signal types confirm it. Survey alone is insufficient.</t>
  </si>
  <si>
    <t>SPACE Survey — 50 Questions  ·  Distribute to developers. Use as paper or digital survey instrument.</t>
  </si>
  <si>
    <t>Q#</t>
  </si>
  <si>
    <t>Dim</t>
  </si>
  <si>
    <t>Survey Question</t>
  </si>
  <si>
    <t>Blocker Signal</t>
  </si>
  <si>
    <t>Type</t>
  </si>
  <si>
    <t>Reverse?</t>
  </si>
  <si>
    <t>Response (1–5 or text)</t>
  </si>
  <si>
    <t>S</t>
  </si>
  <si>
    <t>Overall developer experience satisfaction</t>
  </si>
  <si>
    <t>Systemic friction</t>
  </si>
  <si>
    <t>Likert</t>
  </si>
  <si>
    <t>No</t>
  </si>
  <si>
    <t>Pride in work shipped each sprint</t>
  </si>
  <si>
    <t>Code quality &amp; autonomy</t>
  </si>
  <si>
    <t>Work spillover into personal time due to blockers</t>
  </si>
  <si>
    <t>Workload &amp; burnout</t>
  </si>
  <si>
    <t>YES — Rev</t>
  </si>
  <si>
    <t>Organisation support for professional growth</t>
  </si>
  <si>
    <t>Career &amp; learning friction</t>
  </si>
  <si>
    <t>Satisfaction with local development environment</t>
  </si>
  <si>
    <t>Tooling quality</t>
  </si>
  <si>
    <t>Sense of accomplishment at end of working day</t>
  </si>
  <si>
    <t>Flow &amp; meaningful work</t>
  </si>
  <si>
    <t>Psychological safety raising technical concerns</t>
  </si>
  <si>
    <t>Psychological safety — GATE Q</t>
  </si>
  <si>
    <t>Frequency of repetitive low-value tasks</t>
  </si>
  <si>
    <t>Toil &amp; automation opportunity</t>
  </si>
  <si>
    <t>Would recommend org as great place for developers</t>
  </si>
  <si>
    <t>Developer NPS</t>
  </si>
  <si>
    <t>One thing most negatively impacting satisfaction</t>
  </si>
  <si>
    <t>Open-ended satisfaction blocker</t>
  </si>
  <si>
    <t>Open Text</t>
  </si>
  <si>
    <t>N/A</t>
  </si>
  <si>
    <t>P</t>
  </si>
  <si>
    <t>Code passing review without significant rework</t>
  </si>
  <si>
    <t>Code review friction</t>
  </si>
  <si>
    <t>Production reliability / paged for own issues</t>
  </si>
  <si>
    <t>Production stability</t>
  </si>
  <si>
    <t>Output reflecting true capability vs. blockers</t>
  </si>
  <si>
    <t>Capability vs. blocker gap</t>
  </si>
  <si>
    <t>Understanding business impact of features built</t>
  </si>
  <si>
    <t>Requirements &amp; context clarity</t>
  </si>
  <si>
    <t>Features reaching users without hotfixes</t>
  </si>
  <si>
    <t>Release quality</t>
  </si>
  <si>
    <t>Confidence in code correctness before PR submission</t>
  </si>
  <si>
    <t>Testing &amp; debugging friction</t>
  </si>
  <si>
    <t>Technical debt reducing current output quality</t>
  </si>
  <si>
    <t>Technical debt impact</t>
  </si>
  <si>
    <t>Speed of understanding unfamiliar codebase</t>
  </si>
  <si>
    <t>Codebase onboarding — HIGH SIGNAL</t>
  </si>
  <si>
    <t>Frequency of rework due to unclear requirements</t>
  </si>
  <si>
    <t>Requirements churn</t>
  </si>
  <si>
    <t>Recent blocker preventing quality delivery</t>
  </si>
  <si>
    <t>Open-ended performance blocker</t>
  </si>
  <si>
    <t>A</t>
  </si>
  <si>
    <t>% of day feeling genuinely productive</t>
  </si>
  <si>
    <t>Effective vs. total time ratio</t>
  </si>
  <si>
    <t>Significant context switches per day</t>
  </si>
  <si>
    <t>Context-switch overload</t>
  </si>
  <si>
    <t>Hours lost to unplanned interruptions per sprint</t>
  </si>
  <si>
    <t>Interruption-driven toil</t>
  </si>
  <si>
    <t>Sprint time on top-priority tasks</t>
  </si>
  <si>
    <t>Priority alignment</t>
  </si>
  <si>
    <t>Frequency of working on 3+ tasks simultaneously</t>
  </si>
  <si>
    <t>WIP overload</t>
  </si>
  <si>
    <t>Hours on manual repeatable automatable tasks</t>
  </si>
  <si>
    <t>Automation opportunity</t>
  </si>
  <si>
    <t>Frequency of attending value-adding meetings</t>
  </si>
  <si>
    <t>Meeting overhead</t>
  </si>
  <si>
    <t>Frequency of 2+ hr uninterrupted coding blocks</t>
  </si>
  <si>
    <t>Deep work availability</t>
  </si>
  <si>
    <t>Time on debugging vs. writing new code</t>
  </si>
  <si>
    <t>Debugging-to-coding ratio</t>
  </si>
  <si>
    <t>Hours per sprint lost to all types of waiting</t>
  </si>
  <si>
    <t>Queue &amp; wait time — HIGH SIGNAL</t>
  </si>
  <si>
    <t>C</t>
  </si>
  <si>
    <t>Time to get unblocked when waiting for info</t>
  </si>
  <si>
    <t>Decision &amp; response latency</t>
  </si>
  <si>
    <t>Unclear requirements causing rework</t>
  </si>
  <si>
    <t>Requirements clarity rework</t>
  </si>
  <si>
    <t>Collaborative and constructive code reviews</t>
  </si>
  <si>
    <t>Code review culture</t>
  </si>
  <si>
    <t>Dependent teams communicating changes well</t>
  </si>
  <si>
    <t>Cross-team dependency visibility</t>
  </si>
  <si>
    <t>Ease of finding technical knowledge owner</t>
  </si>
  <si>
    <t>Knowledge ownership</t>
  </si>
  <si>
    <t>Fair and timely feedback from manager</t>
  </si>
  <si>
    <t>Feedback loop quality</t>
  </si>
  <si>
    <t>Surprise API contract changes at integration</t>
  </si>
  <si>
    <t>API contract surprises</t>
  </si>
  <si>
    <t>Effectiveness of sprint planning sessions</t>
  </si>
  <si>
    <t>Planning effectiveness</t>
  </si>
  <si>
    <t>Fairness of on-call rotation burden</t>
  </si>
  <si>
    <t>On-call toil &amp; rotation</t>
  </si>
  <si>
    <t>Biggest coordination breakdown recently</t>
  </si>
  <si>
    <t>Open-ended coordination blocker</t>
  </si>
  <si>
    <t>E</t>
  </si>
  <si>
    <t>Frequency of blocking pipeline waits</t>
  </si>
  <si>
    <t>Build &amp; pipeline wait — HIGH SIGNAL</t>
  </si>
  <si>
    <t>Hours lost to flaky tests per week</t>
  </si>
  <si>
    <t>Flaky test toil</t>
  </si>
  <si>
    <t>Clarity of CI/CD failure messages</t>
  </si>
  <si>
    <t>Pipeline error observability</t>
  </si>
  <si>
    <t>Speed of provisioning test environment</t>
  </si>
  <si>
    <t>Env provisioning wait</t>
  </si>
  <si>
    <t>Time on RCA before starting remediation</t>
  </si>
  <si>
    <t>Incident RCA speed — HIGH SIGNAL</t>
  </si>
  <si>
    <t>Toolchain supporting flow vs. interrupting it</t>
  </si>
  <si>
    <t>Toolchain integration &amp; flow</t>
  </si>
  <si>
    <t>Confidence in understanding change blast radius</t>
  </si>
  <si>
    <t>Change impact analysis</t>
  </si>
  <si>
    <t>Time searching docs, wikis, past decisions</t>
  </si>
  <si>
    <t>Knowledge discoverability</t>
  </si>
  <si>
    <t>Local environment reliability / config drift</t>
  </si>
  <si>
    <t>Local environment reliability</t>
  </si>
  <si>
    <t>One tooling or process inefficiency to fix</t>
  </si>
  <si>
    <t>Open-ended efficiency blocker</t>
  </si>
  <si>
    <t>SPACE Survey — Response Data Entry  ·  One row per respondent. Scores 1–5 for Likert. Free text for Open. Yellow = input.</t>
  </si>
  <si>
    <t>Resp#</t>
  </si>
  <si>
    <t>Team</t>
  </si>
  <si>
    <t>Role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</si>
  <si>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</si>
  <si>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</si>
  <si>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</si>
  <si>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</si>
  <si>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</si>
  <si>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</si>
  <si>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</si>
  <si>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</si>
  <si>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</si>
  <si>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Dev 1</t>
  </si>
  <si>
    <t>Precision Ag Platform</t>
  </si>
  <si>
    <t>Senior Dev</t>
  </si>
  <si>
    <t>Dev 2</t>
  </si>
  <si>
    <t>Supply Chain APIs</t>
  </si>
  <si>
    <t>Developer</t>
  </si>
  <si>
    <t>Dev 3</t>
  </si>
  <si>
    <t>Tech Lead</t>
  </si>
  <si>
    <t>Dev 4</t>
  </si>
  <si>
    <t>Seed R&amp;D Pipeline</t>
  </si>
  <si>
    <t>Dev 5</t>
  </si>
  <si>
    <t>ERP Integration</t>
  </si>
  <si>
    <t>DIMENSION AVERAGES (auto-calculated — edit scores above)</t>
  </si>
  <si>
    <t>S — Satisfaction</t>
  </si>
  <si>
    <t>→ Use this score in Sheet 3 Phase 1 Triage</t>
  </si>
  <si>
    <t>P — Performance</t>
  </si>
  <si>
    <t>A — Activity</t>
  </si>
  <si>
    <t>C — Communication</t>
  </si>
  <si>
    <t>E — Efficiency</t>
  </si>
  <si>
    <t>PHASE 1 — SCORE TRIAGE  ·  Day 1: Apply range bands · Flag P1 · Detect cross-patterns · Brief VP Eng same day</t>
  </si>
  <si>
    <t>Organisation:</t>
  </si>
  <si>
    <t>Land O'Lakes Engineering</t>
  </si>
  <si>
    <t>Survey Cycle:</t>
  </si>
  <si>
    <t>Q2 2025</t>
  </si>
  <si>
    <t>Total Respondents:</t>
  </si>
  <si>
    <t>Response Rate:</t>
  </si>
  <si>
    <t>76%</t>
  </si>
  <si>
    <t>Prev Survey Cycle:</t>
  </si>
  <si>
    <t>Q1 2025</t>
  </si>
  <si>
    <t>Dimension</t>
  </si>
  <si>
    <t>Score</t>
  </si>
  <si>
    <t>Prev Score</t>
  </si>
  <si>
    <t>Range Band</t>
  </si>
  <si>
    <t>Priority</t>
  </si>
  <si>
    <t>Trend</t>
  </si>
  <si>
    <t>Drop &gt;0.4?</t>
  </si>
  <si>
    <t>Cross-Pattern Alert</t>
  </si>
  <si>
    <t>Immediate Action</t>
  </si>
  <si>
    <t>Significant</t>
  </si>
  <si>
    <t>P1</t>
  </si>
  <si>
    <t>↓ -0.3</t>
  </si>
  <si>
    <t>🟡 Low S + Healthy P: heroics/attrition risk</t>
  </si>
  <si>
    <t>Structured investigation within 2 weeks</t>
  </si>
  <si>
    <t>Moderate</t>
  </si>
  <si>
    <t>P2</t>
  </si>
  <si>
    <t>→ Stable</t>
  </si>
  <si>
    <t>🟡 Low S + Mod P: investigate attrition risk</t>
  </si>
  <si>
    <t>Monitor trend. Cross-validate with DORA.</t>
  </si>
  <si>
    <t>Healthy</t>
  </si>
  <si>
    <t>↓ -0.5</t>
  </si>
  <si>
    <t>YES</t>
  </si>
  <si>
    <t>🟠 High A + Low S: hidden toil pattern</t>
  </si>
  <si>
    <t>Pair with Satisfaction before concluding.</t>
  </si>
  <si>
    <t>↓ -0.4</t>
  </si>
  <si>
    <t>🟣 Low C + Moderate P: coordination overhead</t>
  </si>
  <si>
    <t>Journey mapping within 2 weeks.</t>
  </si>
  <si>
    <t>Critical</t>
  </si>
  <si>
    <t>↓ -0.6</t>
  </si>
  <si>
    <t>🔴 Low E + Low S: tooling harm — highest AI ROI</t>
  </si>
  <si>
    <t>Emergency: 48hr deep-dive immediately.</t>
  </si>
  <si>
    <t>PHASE 2 — OPEN TEXT ANALYSIS  ·  Days 1–3: Cluster themes · 30% threshold · JTBD extraction · Preserve verbatim</t>
  </si>
  <si>
    <t>Theme</t>
  </si>
  <si>
    <t>Source Question</t>
  </si>
  <si>
    <t>Respondents</t>
  </si>
  <si>
    <t>% Total</t>
  </si>
  <si>
    <t>Threshold Status</t>
  </si>
  <si>
    <t>Verbatim Quote</t>
  </si>
  <si>
    <t>JTBD Statement</t>
  </si>
  <si>
    <t>Build pipeline failures &amp; cryptic error messages</t>
  </si>
  <si>
    <t>Q50 Efficiency</t>
  </si>
  <si>
    <t>"I spent Tuesday decoding 'exit code 1'. No context. Eventually found it was a flaky test unrelated to my change."</t>
  </si>
  <si>
    <t>When CI fails, I want to understand what broke and why in plain English so I can fix it in under 5 minutes.</t>
  </si>
  <si>
    <t>Codebase onboarding — understanding unfamiliar services</t>
  </si>
  <si>
    <t>Q10 Satisfaction</t>
  </si>
  <si>
    <t>"Every ticket in Precision Ag means half a day reading code. No documentation, README is 2 years old."</t>
  </si>
  <si>
    <t>When picking up a ticket, I want to understand a service in under 5 minutes without reading all source code.</t>
  </si>
  <si>
    <t>Q40 Communication</t>
  </si>
  <si>
    <t>"I've rewritten the same feature three times because the ticket said one thing and the stakeholder meant another."</t>
  </si>
  <si>
    <t>When a ticket moves to In Progress, I want a structured AC checklist so I find ambiguity before writing code.</t>
  </si>
  <si>
    <t>Incident RCA taking 2–3 hrs before remediation</t>
  </si>
  <si>
    <t>"I spend the first two hours figuring out which deployment caused the incident before I can even start fixing."</t>
  </si>
  <si>
    <t>When a P1 fires, I want to see the most likely root cause in minutes so I can start remediation immediately.</t>
  </si>
  <si>
    <t>PHASE 3 — CROSS-VALIDATION  ·  Days 2–4: Pull DORA · Pipeline · PR · Telemetry · Triangulation gate (2+ sources)</t>
  </si>
  <si>
    <t>Candidate Blocker</t>
  </si>
  <si>
    <t>Survey Signal</t>
  </si>
  <si>
    <t>Survey Sub-Score</t>
  </si>
  <si>
    <t>Quant Data Type</t>
  </si>
  <si>
    <t>Quant Value</t>
  </si>
  <si>
    <t>Open Text %</t>
  </si>
  <si>
    <t>OT Threshold</t>
  </si>
  <si>
    <t>Sources (count)</t>
  </si>
  <si>
    <t>Registry Decision</t>
  </si>
  <si>
    <t>Build pipeline errors &amp; flaky tests</t>
  </si>
  <si>
    <t>E score low</t>
  </si>
  <si>
    <t>2.2/5.0</t>
  </si>
  <si>
    <t>Avg build time + flaky %</t>
  </si>
  <si>
    <t>38 min / 22% flaky</t>
  </si>
  <si>
    <t>47% (18/38)</t>
  </si>
  <si>
    <t>≥30%</t>
  </si>
  <si>
    <t>3 of 3</t>
  </si>
  <si>
    <t>✓ P1 Registry</t>
  </si>
  <si>
    <t>Codebase onboarding friction</t>
  </si>
  <si>
    <t>E+P low</t>
  </si>
  <si>
    <t>E:2.2 P:3.1</t>
  </si>
  <si>
    <t>IDE telemetry session length</t>
  </si>
  <si>
    <t>11 min avg</t>
  </si>
  <si>
    <t>42% (16/38)</t>
  </si>
  <si>
    <t>Requirements clarity / rework</t>
  </si>
  <si>
    <t>C score low</t>
  </si>
  <si>
    <t>2.6/5.0</t>
  </si>
  <si>
    <t>PR iteration count avg</t>
  </si>
  <si>
    <t>3.2 per PR</t>
  </si>
  <si>
    <t>34% (13/38)</t>
  </si>
  <si>
    <t>Incident RCA speed</t>
  </si>
  <si>
    <t>E partial</t>
  </si>
  <si>
    <t>MTTR (PagerDuty)</t>
  </si>
  <si>
    <t>3.1 hrs avg</t>
  </si>
  <si>
    <t>29% (11/38)</t>
  </si>
  <si>
    <t>15-29%</t>
  </si>
  <si>
    <t>2 of 3</t>
  </si>
  <si>
    <t>✓ P2 Registry</t>
  </si>
  <si>
    <t>Test env provisioning delays</t>
  </si>
  <si>
    <t>P partial</t>
  </si>
  <si>
    <t>3.1/5.0</t>
  </si>
  <si>
    <t>—</t>
  </si>
  <si>
    <t>No data</t>
  </si>
  <si>
    <t>18% (7/38)</t>
  </si>
  <si>
    <t>&lt;30%</t>
  </si>
  <si>
    <t>1 of 3</t>
  </si>
  <si>
    <t>Investigate further</t>
  </si>
  <si>
    <t>On-call rotation imbalance</t>
  </si>
  <si>
    <t>C Q39 low</t>
  </si>
  <si>
    <t>Monitor — not AI fix</t>
  </si>
  <si>
    <t>PHASE 4 — JOURNEY MAPPING  ·  Days 5–10: Walk the ticket · Dot vote friction · 5-Whys root cause per pain point</t>
  </si>
  <si>
    <t>Journey Step</t>
  </si>
  <si>
    <t>Avg Time</t>
  </si>
  <si>
    <t>Friction 🔴🟡🟢</t>
  </si>
  <si>
    <t>Dot Votes (of 40)</t>
  </si>
  <si>
    <t>Developer Quote (verbatim)</t>
  </si>
  <si>
    <t>5-Whys Root Cause</t>
  </si>
  <si>
    <t>Blocker Confirmed?</t>
  </si>
  <si>
    <t>Pick up ticket (Jira)</t>
  </si>
  <si>
    <t>15 min</t>
  </si>
  <si>
    <t>🟢 Smooth</t>
  </si>
  <si>
    <t>0 dots</t>
  </si>
  <si>
    <t>Ticket exists and readable.</t>
  </si>
  <si>
    <t>No blocker</t>
  </si>
  <si>
    <t>Understand affected service / codebase</t>
  </si>
  <si>
    <t>3.5 hours</t>
  </si>
  <si>
    <t>🔴 MAJOR PAIN</t>
  </si>
  <si>
    <t>7 of 8 dots</t>
  </si>
  <si>
    <t>"I read every file to understand what it does. README is 2 years out of date. No one has updated it."</t>
  </si>
  <si>
    <t>Root: No AI-assisted codebase explanation. Source code reading is the only understanding mechanism. No Q&amp;A agent exists.</t>
  </si>
  <si>
    <t>✓ P1 Confirmed</t>
  </si>
  <si>
    <t>When picking up a ticket in an unfamiliar service, I want to understand its purpose and entry points in under 5 minutes.</t>
  </si>
  <si>
    <t>Write code and tests</t>
  </si>
  <si>
    <t>4 hours</t>
  </si>
  <si>
    <t>1 dot</t>
  </si>
  <si>
    <t>Once codebase understood, coding is fast.</t>
  </si>
  <si>
    <t>N/A — no blocker</t>
  </si>
  <si>
    <t>Submit PR → wait for CI/CD</t>
  </si>
  <si>
    <t>38 min + 24hr lag</t>
  </si>
  <si>
    <t>🔴 PAIN</t>
  </si>
  <si>
    <t>6 of 8 dots</t>
  </si>
  <si>
    <t>"Half the time it fails for a test unrelated to my change. I re-run it three times and hope."</t>
  </si>
  <si>
    <t>Root: No test impact analysis. Full suite runs every PR. 22% flaky test failure rate. No AI failure explanation.</t>
  </si>
  <si>
    <t>When CI fails, I want to know what broke and why in plain English in under 5 minutes.</t>
  </si>
  <si>
    <t>Address review comments</t>
  </si>
  <si>
    <t>Avg 3.2 cycles</t>
  </si>
  <si>
    <t>🟡 Wait</t>
  </si>
  <si>
    <t>4 of 8 dots</t>
  </si>
  <si>
    <t>"One reviewer wants it one way, another wants opposite. No consistent standard."</t>
  </si>
  <si>
    <t>Root: No automated first-pass review to normalise standards before human review.</t>
  </si>
  <si>
    <t>✓ P2 Confirmed</t>
  </si>
  <si>
    <t>When I submit a PR, I want a consistent first-pass review within 5 minutes so humans focus on architecture.</t>
  </si>
  <si>
    <t>Deploy via approval gate</t>
  </si>
  <si>
    <t>2 hr wait</t>
  </si>
  <si>
    <t>3 of 8 dots</t>
  </si>
  <si>
    <t>"Low-risk changes go through the same approval as high-risk ones."</t>
  </si>
  <si>
    <t>Root: No change risk scoring. All changes treated as equal risk.</t>
  </si>
  <si>
    <t>When merging a low-risk change, I want it to auto-deploy based on a risk score without manual approval.</t>
  </si>
  <si>
    <t>PHASE 5 — BLOCKER REGISTRY + AI FEASIBILITY  ·  Days 10–14: Compile · Score · Classify · Sequence → Step 2 Handoff</t>
  </si>
  <si>
    <t>#</t>
  </si>
  <si>
    <t>Blocker</t>
  </si>
  <si>
    <t>SDLC Phase</t>
  </si>
  <si>
    <t>Signal Sources</t>
  </si>
  <si>
    <t>Dev Reach</t>
  </si>
  <si>
    <t>Hrs/Sprint</t>
  </si>
  <si>
    <t>AI Fit Flag</t>
  </si>
  <si>
    <t>AI Tool Candidate</t>
  </si>
  <si>
    <t>Coding</t>
  </si>
  <si>
    <t>E + P</t>
  </si>
  <si>
    <t>2.2</t>
  </si>
  <si>
    <t>Survey+IDE+Text (3/3)</t>
  </si>
  <si>
    <t>~3.5 hrs</t>
  </si>
  <si>
    <t>GitHub Copilot + RAG on codebase</t>
  </si>
  <si>
    <t>Build pipeline errors + flaky tests</t>
  </si>
  <si>
    <t>Build/Test</t>
  </si>
  <si>
    <t>Survey+CI/CD+Text (3/3)</t>
  </si>
  <si>
    <t>~2.8 hrs</t>
  </si>
  <si>
    <t>BuildPulse + Harness AI Autofix</t>
  </si>
  <si>
    <t>Requirements clarity / rework loops</t>
  </si>
  <si>
    <t>Planning</t>
  </si>
  <si>
    <t>2.6</t>
  </si>
  <si>
    <t>Survey+PR+Text (3/3)</t>
  </si>
  <si>
    <t>~2.2 hrs</t>
  </si>
  <si>
    <t>Custom AC Agent on Jira</t>
  </si>
  <si>
    <t>Operations</t>
  </si>
  <si>
    <t>Survey+MTTR+Text (2/3)</t>
  </si>
  <si>
    <t>~3.1 hrs</t>
  </si>
  <si>
    <t>PagerDuty AI + Splunk ITSI</t>
  </si>
  <si>
    <t>Unsustainable heroics / attrition</t>
  </si>
  <si>
    <t>All phases</t>
  </si>
  <si>
    <t>S + P</t>
  </si>
  <si>
    <t>2.4</t>
  </si>
  <si>
    <t>Survey+timestamps (2/3)</t>
  </si>
  <si>
    <t>Declining S</t>
  </si>
  <si>
    <t>Retention</t>
  </si>
  <si>
    <t>NO — Mgmt</t>
  </si>
  <si>
    <t>P2 non-AI</t>
  </si>
  <si>
    <t>Management coaching workstream</t>
  </si>
  <si>
    <t>AI FEASIBILITY SCORING MATRIX  ·  Score 1–5 per dimension · Weighted composite score · Quick Win &gt;8.0 / Strategic Bet 6–8</t>
  </si>
  <si>
    <t>Tool Maturity (25%)</t>
  </si>
  <si>
    <t>Integration (20%)</t>
  </si>
  <si>
    <t>Cost Efficiency (25%)</t>
  </si>
  <si>
    <t>Data Availability (15%)</t>
  </si>
  <si>
    <t>Dev Adoption (15%)</t>
  </si>
  <si>
    <t>Weighted Score</t>
  </si>
  <si>
    <t>Classification</t>
  </si>
  <si>
    <t>AI Tool</t>
  </si>
  <si>
    <t>Timeline</t>
  </si>
  <si>
    <t>ROI Horizon</t>
  </si>
  <si>
    <t>Codebase onboarding</t>
  </si>
  <si>
    <t>Quick Win</t>
  </si>
  <si>
    <t>GitHub Copilot + RAG</t>
  </si>
  <si>
    <t>Weeks 11–18</t>
  </si>
  <si>
    <t>~6 months</t>
  </si>
  <si>
    <t>Build pipeline errors</t>
  </si>
  <si>
    <t>BuildPulse + Harness AI</t>
  </si>
  <si>
    <t>~4 months</t>
  </si>
  <si>
    <t>Requirements clarity</t>
  </si>
  <si>
    <t>Strategic Bet</t>
  </si>
  <si>
    <t>Custom AC Agent · Jira</t>
  </si>
  <si>
    <t>Q3 2025</t>
  </si>
  <si>
    <t>~8 months</t>
  </si>
  <si>
    <t>PagerDuty AI + Splunk</t>
  </si>
  <si>
    <t>~9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</si>
</sst>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0"/>
      <color rgb="FF0D1B2A"/>
      <name val="Calibri"/>
    </font>
    <font>
      <sz val="10"/>
      <color rgb="FF0D1B2A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0B7A75"/>
      <name val="Calibri"/>
    </font>
    <font>
      <b/>
      <sz val="11"/>
      <color rgb="FF0B7A75"/>
      <name val="Calibri"/>
    </font>
    <font>
      <sz val="10"/>
      <color rgb="FF000000"/>
      <name val="Calibri"/>
    </font>
    <font>
      <i/>
      <sz val="9"/>
      <color rgb="FF9A9080"/>
      <name val="Calibri"/>
    </font>
    <font>
      <sz val="9"/>
      <color rgb="FF000000"/>
      <name val="Calibri"/>
    </font>
    <font>
      <sz val="9"/>
      <color rgb="FF9A9080"/>
      <name val="Calibri"/>
    </font>
    <font>
      <sz val="11"/>
      <color rgb="FF000000"/>
      <name val="Calibri"/>
    </font>
    <font>
      <b/>
      <sz val="9"/>
      <color rgb="FFB8320A"/>
      <name val="Calibri"/>
    </font>
    <font>
      <b/>
      <sz val="10"/>
      <color rgb="FF4A3080"/>
      <name val="Calibri"/>
    </font>
    <font>
      <b/>
      <sz val="11"/>
      <color rgb="FF4A3080"/>
      <name val="Calibri"/>
    </font>
    <font>
      <b/>
      <sz val="10"/>
      <color rgb="FFB06A10"/>
      <name val="Calibri"/>
    </font>
    <font>
      <b/>
      <sz val="11"/>
      <color rgb="FFB06A10"/>
      <name val="Calibri"/>
    </font>
    <font>
      <b/>
      <sz val="10"/>
      <color rgb="FFB8320A"/>
      <name val="Calibri"/>
    </font>
    <font>
      <b/>
      <sz val="11"/>
      <color rgb="FFB8320A"/>
      <name val="Calibri"/>
    </font>
    <font>
      <b/>
      <sz val="10"/>
      <color rgb="FF0E4D8A"/>
      <name val="Calibri"/>
    </font>
    <font>
      <b/>
      <sz val="11"/>
      <color rgb="FF0E4D8A"/>
      <name val="Calibri"/>
    </font>
    <font>
      <b/>
      <sz val="12"/>
      <color rgb="FF0B7A75"/>
      <name val="Calibri"/>
    </font>
    <font>
      <b/>
      <sz val="14"/>
      <color rgb="FF0B7A75"/>
      <name val="Calibri"/>
    </font>
    <font>
      <i/>
      <sz val="10"/>
      <color rgb="FF9A9080"/>
      <name val="Calibri"/>
    </font>
    <font>
      <b/>
      <sz val="12"/>
      <color rgb="FF4A3080"/>
      <name val="Calibri"/>
    </font>
    <font>
      <b/>
      <sz val="14"/>
      <color rgb="FF4A3080"/>
      <name val="Calibri"/>
    </font>
    <font>
      <b/>
      <sz val="12"/>
      <color rgb="FFB06A10"/>
      <name val="Calibri"/>
    </font>
    <font>
      <b/>
      <sz val="14"/>
      <color rgb="FFB06A10"/>
      <name val="Calibri"/>
    </font>
    <font>
      <b/>
      <sz val="12"/>
      <color rgb="FFB8320A"/>
      <name val="Calibri"/>
    </font>
    <font>
      <b/>
      <sz val="14"/>
      <color rgb="FFB8320A"/>
      <name val="Calibri"/>
    </font>
    <font>
      <b/>
      <sz val="12"/>
      <color rgb="FF0E4D8A"/>
      <name val="Calibri"/>
    </font>
    <font>
      <b/>
      <sz val="14"/>
      <color rgb="FF0E4D8A"/>
      <name val="Calibri"/>
    </font>
    <font>
      <b/>
      <sz val="10"/>
      <color rgb="FF000000"/>
      <name val="Calibri"/>
    </font>
    <font>
      <sz val="10"/>
      <color rgb="FF333333"/>
      <name val="Calibri"/>
    </font>
    <font>
      <b/>
      <sz val="10"/>
      <color rgb="FF1A6B3C"/>
      <name val="Calibri"/>
    </font>
    <font>
      <b/>
      <sz val="10"/>
      <color rgb="FF333333"/>
      <name val="Calibri"/>
    </font>
    <font>
      <sz val="10"/>
      <color rgb="FF1A6B3C"/>
      <name val="Calibri"/>
    </font>
    <font>
      <sz val="10"/>
      <color rgb="FF2E7D32"/>
      <name val="Calibri"/>
    </font>
    <font>
      <sz val="10"/>
      <color rgb="FFF57F17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5E6C0"/>
      </patternFill>
    </fill>
    <fill>
      <patternFill patternType="solid">
        <fgColor rgb="FFF7F3ED"/>
      </patternFill>
    </fill>
    <fill>
      <patternFill patternType="solid">
        <fgColor rgb="FFD6EFEE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EEEAF8"/>
      </patternFill>
    </fill>
    <fill>
      <patternFill patternType="solid">
        <fgColor rgb="FFFBF0DC"/>
      </patternFill>
    </fill>
    <fill>
      <patternFill patternType="solid">
        <fgColor rgb="FFFAEDE8"/>
      </patternFill>
    </fill>
    <fill>
      <patternFill patternType="solid">
        <fgColor rgb="FFD6E8F8"/>
      </patternFill>
    </fill>
    <fill>
      <patternFill patternType="solid">
        <fgColor rgb="FF0B7A75"/>
      </patternFill>
    </fill>
    <fill>
      <patternFill patternType="solid">
        <fgColor rgb="FFB8320A"/>
      </patternFill>
    </fill>
    <fill>
      <patternFill patternType="solid">
        <fgColor rgb="FFB06A10"/>
      </patternFill>
    </fill>
    <fill>
      <patternFill patternType="solid">
        <fgColor rgb="FF1A6B3C"/>
      </patternFill>
    </fill>
    <fill>
      <patternFill patternType="solid">
        <fgColor rgb="FF4A3080"/>
      </patternFill>
    </fill>
    <fill>
      <patternFill patternType="solid">
        <fgColor rgb="FF1A305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4" fillId="7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/>
    </xf>
    <xf numFmtId="0" fontId="34" fillId="9" borderId="1" xfId="0" applyFont="1" applyFill="1" applyBorder="1" applyAlignment="1">
      <alignment horizontal="left" vertical="center"/>
    </xf>
    <xf numFmtId="0" fontId="34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workbookViewId="0">
      <selection sqref="A1:A2"/>
    </sheetView>
  </sheetViews>
  <sheetFormatPr defaultRowHeight="14.45"/>
  <cols>
    <col min="1" max="1" width="100" customWidth="1"/>
  </cols>
  <sheetData>
    <row r="1" spans="1:1" ht="36" customHeight="1">
      <c r="A1" s="100" t="s">
        <v>0</v>
      </c>
    </row>
    <row r="2" spans="1:1" ht="36" customHeight="1">
      <c r="A2" s="106"/>
    </row>
    <row r="4" spans="1:1" ht="21.95" customHeight="1">
      <c r="A4" s="1" t="s">
        <v>1</v>
      </c>
    </row>
    <row r="5" spans="1:1" ht="21.95" customHeight="1">
      <c r="A5" s="2" t="s">
        <v>2</v>
      </c>
    </row>
    <row r="6" spans="1:1" ht="21.95" customHeight="1">
      <c r="A6" s="1" t="s">
        <v>3</v>
      </c>
    </row>
    <row r="7" spans="1:1" ht="21.95" customHeight="1">
      <c r="A7" s="2" t="s">
        <v>4</v>
      </c>
    </row>
    <row r="8" spans="1:1" ht="21.95" customHeight="1">
      <c r="A8" s="1" t="s">
        <v>5</v>
      </c>
    </row>
    <row r="9" spans="1:1" ht="21.95" customHeight="1">
      <c r="A9" s="2" t="s">
        <v>6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showGridLines="0" workbookViewId="0">
      <selection activeCell="G6" sqref="G6"/>
    </sheetView>
  </sheetViews>
  <sheetFormatPr defaultRowHeight="14.45"/>
  <cols>
    <col min="1" max="1" width="5" customWidth="1"/>
    <col min="2" max="2" width="6" customWidth="1"/>
    <col min="3" max="3" width="65" customWidth="1"/>
    <col min="4" max="4" width="35" customWidth="1"/>
    <col min="5" max="6" width="12" customWidth="1"/>
    <col min="7" max="7" width="20" customWidth="1"/>
  </cols>
  <sheetData>
    <row r="1" spans="1:7" ht="27.95" customHeight="1">
      <c r="A1" s="101" t="s">
        <v>7</v>
      </c>
      <c r="B1" s="107"/>
      <c r="C1" s="107"/>
      <c r="D1" s="107"/>
      <c r="E1" s="107"/>
      <c r="F1" s="107"/>
      <c r="G1" s="108"/>
    </row>
    <row r="2" spans="1:7" ht="21.9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7" ht="21.95" customHeight="1">
      <c r="A3" s="4">
        <v>1</v>
      </c>
      <c r="B3" s="5" t="s">
        <v>15</v>
      </c>
      <c r="C3" s="6" t="s">
        <v>16</v>
      </c>
      <c r="D3" s="7" t="s">
        <v>17</v>
      </c>
      <c r="E3" s="8" t="s">
        <v>18</v>
      </c>
      <c r="F3" s="9" t="s">
        <v>19</v>
      </c>
      <c r="G3" s="10">
        <v>4</v>
      </c>
    </row>
    <row r="4" spans="1:7" ht="21.95" customHeight="1">
      <c r="A4" s="11">
        <v>2</v>
      </c>
      <c r="B4" s="5" t="s">
        <v>15</v>
      </c>
      <c r="C4" s="12" t="s">
        <v>20</v>
      </c>
      <c r="D4" s="13" t="s">
        <v>21</v>
      </c>
      <c r="E4" s="14" t="s">
        <v>18</v>
      </c>
      <c r="F4" s="15" t="s">
        <v>19</v>
      </c>
      <c r="G4" s="10">
        <v>2</v>
      </c>
    </row>
    <row r="5" spans="1:7" ht="21.95" customHeight="1">
      <c r="A5" s="4">
        <v>3</v>
      </c>
      <c r="B5" s="5" t="s">
        <v>15</v>
      </c>
      <c r="C5" s="6" t="s">
        <v>22</v>
      </c>
      <c r="D5" s="7" t="s">
        <v>23</v>
      </c>
      <c r="E5" s="8" t="s">
        <v>18</v>
      </c>
      <c r="F5" s="16" t="s">
        <v>24</v>
      </c>
      <c r="G5" s="10">
        <v>3</v>
      </c>
    </row>
    <row r="6" spans="1:7" ht="21.95" customHeight="1">
      <c r="A6" s="11">
        <v>4</v>
      </c>
      <c r="B6" s="5" t="s">
        <v>15</v>
      </c>
      <c r="C6" s="12" t="s">
        <v>25</v>
      </c>
      <c r="D6" s="13" t="s">
        <v>26</v>
      </c>
      <c r="E6" s="14" t="s">
        <v>18</v>
      </c>
      <c r="F6" s="15" t="s">
        <v>19</v>
      </c>
      <c r="G6" s="10"/>
    </row>
    <row r="7" spans="1:7" ht="21.95" customHeight="1">
      <c r="A7" s="4">
        <v>5</v>
      </c>
      <c r="B7" s="5" t="s">
        <v>15</v>
      </c>
      <c r="C7" s="6" t="s">
        <v>27</v>
      </c>
      <c r="D7" s="7" t="s">
        <v>28</v>
      </c>
      <c r="E7" s="8" t="s">
        <v>18</v>
      </c>
      <c r="F7" s="9" t="s">
        <v>19</v>
      </c>
      <c r="G7" s="10"/>
    </row>
    <row r="8" spans="1:7" ht="21.95" customHeight="1">
      <c r="A8" s="11">
        <v>6</v>
      </c>
      <c r="B8" s="5" t="s">
        <v>15</v>
      </c>
      <c r="C8" s="12" t="s">
        <v>29</v>
      </c>
      <c r="D8" s="13" t="s">
        <v>30</v>
      </c>
      <c r="E8" s="14" t="s">
        <v>18</v>
      </c>
      <c r="F8" s="15" t="s">
        <v>19</v>
      </c>
      <c r="G8" s="10"/>
    </row>
    <row r="9" spans="1:7" ht="21.95" customHeight="1">
      <c r="A9" s="4">
        <v>7</v>
      </c>
      <c r="B9" s="5" t="s">
        <v>15</v>
      </c>
      <c r="C9" s="6" t="s">
        <v>31</v>
      </c>
      <c r="D9" s="7" t="s">
        <v>32</v>
      </c>
      <c r="E9" s="8" t="s">
        <v>18</v>
      </c>
      <c r="F9" s="9" t="s">
        <v>19</v>
      </c>
      <c r="G9" s="10"/>
    </row>
    <row r="10" spans="1:7" ht="21.95" customHeight="1">
      <c r="A10" s="11">
        <v>8</v>
      </c>
      <c r="B10" s="5" t="s">
        <v>15</v>
      </c>
      <c r="C10" s="12" t="s">
        <v>33</v>
      </c>
      <c r="D10" s="13" t="s">
        <v>34</v>
      </c>
      <c r="E10" s="14" t="s">
        <v>18</v>
      </c>
      <c r="F10" s="17" t="s">
        <v>24</v>
      </c>
      <c r="G10" s="10"/>
    </row>
    <row r="11" spans="1:7" ht="21.95" customHeight="1">
      <c r="A11" s="4">
        <v>9</v>
      </c>
      <c r="B11" s="5" t="s">
        <v>15</v>
      </c>
      <c r="C11" s="6" t="s">
        <v>35</v>
      </c>
      <c r="D11" s="7" t="s">
        <v>36</v>
      </c>
      <c r="E11" s="8" t="s">
        <v>18</v>
      </c>
      <c r="F11" s="9" t="s">
        <v>19</v>
      </c>
      <c r="G11" s="10"/>
    </row>
    <row r="12" spans="1:7" ht="30" customHeight="1">
      <c r="A12" s="11">
        <v>10</v>
      </c>
      <c r="B12" s="5" t="s">
        <v>15</v>
      </c>
      <c r="C12" s="12" t="s">
        <v>37</v>
      </c>
      <c r="D12" s="13" t="s">
        <v>38</v>
      </c>
      <c r="E12" s="14" t="s">
        <v>39</v>
      </c>
      <c r="F12" s="15" t="s">
        <v>40</v>
      </c>
      <c r="G12" s="18"/>
    </row>
    <row r="13" spans="1:7" ht="21.95" customHeight="1">
      <c r="A13" s="19">
        <v>11</v>
      </c>
      <c r="B13" s="20" t="s">
        <v>41</v>
      </c>
      <c r="C13" s="6" t="s">
        <v>42</v>
      </c>
      <c r="D13" s="7" t="s">
        <v>43</v>
      </c>
      <c r="E13" s="8" t="s">
        <v>18</v>
      </c>
      <c r="F13" s="9" t="s">
        <v>19</v>
      </c>
      <c r="G13" s="10"/>
    </row>
    <row r="14" spans="1:7" ht="21.95" customHeight="1">
      <c r="A14" s="21">
        <v>12</v>
      </c>
      <c r="B14" s="20" t="s">
        <v>41</v>
      </c>
      <c r="C14" s="12" t="s">
        <v>44</v>
      </c>
      <c r="D14" s="13" t="s">
        <v>45</v>
      </c>
      <c r="E14" s="14" t="s">
        <v>18</v>
      </c>
      <c r="F14" s="17" t="s">
        <v>24</v>
      </c>
      <c r="G14" s="10"/>
    </row>
    <row r="15" spans="1:7" ht="21.95" customHeight="1">
      <c r="A15" s="19">
        <v>13</v>
      </c>
      <c r="B15" s="20" t="s">
        <v>41</v>
      </c>
      <c r="C15" s="6" t="s">
        <v>46</v>
      </c>
      <c r="D15" s="7" t="s">
        <v>47</v>
      </c>
      <c r="E15" s="8" t="s">
        <v>18</v>
      </c>
      <c r="F15" s="9" t="s">
        <v>19</v>
      </c>
      <c r="G15" s="10"/>
    </row>
    <row r="16" spans="1:7" ht="21.95" customHeight="1">
      <c r="A16" s="21">
        <v>14</v>
      </c>
      <c r="B16" s="20" t="s">
        <v>41</v>
      </c>
      <c r="C16" s="12" t="s">
        <v>48</v>
      </c>
      <c r="D16" s="13" t="s">
        <v>49</v>
      </c>
      <c r="E16" s="14" t="s">
        <v>18</v>
      </c>
      <c r="F16" s="15" t="s">
        <v>19</v>
      </c>
      <c r="G16" s="10"/>
    </row>
    <row r="17" spans="1:7" ht="21.95" customHeight="1">
      <c r="A17" s="19">
        <v>15</v>
      </c>
      <c r="B17" s="20" t="s">
        <v>41</v>
      </c>
      <c r="C17" s="6" t="s">
        <v>50</v>
      </c>
      <c r="D17" s="7" t="s">
        <v>51</v>
      </c>
      <c r="E17" s="8" t="s">
        <v>18</v>
      </c>
      <c r="F17" s="9" t="s">
        <v>19</v>
      </c>
      <c r="G17" s="10"/>
    </row>
    <row r="18" spans="1:7" ht="21.95" customHeight="1">
      <c r="A18" s="21">
        <v>16</v>
      </c>
      <c r="B18" s="20" t="s">
        <v>41</v>
      </c>
      <c r="C18" s="12" t="s">
        <v>52</v>
      </c>
      <c r="D18" s="13" t="s">
        <v>53</v>
      </c>
      <c r="E18" s="14" t="s">
        <v>18</v>
      </c>
      <c r="F18" s="15" t="s">
        <v>19</v>
      </c>
      <c r="G18" s="10"/>
    </row>
    <row r="19" spans="1:7" ht="21.95" customHeight="1">
      <c r="A19" s="19">
        <v>17</v>
      </c>
      <c r="B19" s="20" t="s">
        <v>41</v>
      </c>
      <c r="C19" s="6" t="s">
        <v>54</v>
      </c>
      <c r="D19" s="7" t="s">
        <v>55</v>
      </c>
      <c r="E19" s="8" t="s">
        <v>18</v>
      </c>
      <c r="F19" s="16" t="s">
        <v>24</v>
      </c>
      <c r="G19" s="10"/>
    </row>
    <row r="20" spans="1:7" ht="21.95" customHeight="1">
      <c r="A20" s="21">
        <v>18</v>
      </c>
      <c r="B20" s="20" t="s">
        <v>41</v>
      </c>
      <c r="C20" s="12" t="s">
        <v>56</v>
      </c>
      <c r="D20" s="13" t="s">
        <v>57</v>
      </c>
      <c r="E20" s="14" t="s">
        <v>18</v>
      </c>
      <c r="F20" s="15" t="s">
        <v>19</v>
      </c>
      <c r="G20" s="10"/>
    </row>
    <row r="21" spans="1:7" ht="21.95" customHeight="1">
      <c r="A21" s="19">
        <v>19</v>
      </c>
      <c r="B21" s="20" t="s">
        <v>41</v>
      </c>
      <c r="C21" s="6" t="s">
        <v>58</v>
      </c>
      <c r="D21" s="7" t="s">
        <v>59</v>
      </c>
      <c r="E21" s="8" t="s">
        <v>18</v>
      </c>
      <c r="F21" s="16" t="s">
        <v>24</v>
      </c>
      <c r="G21" s="10"/>
    </row>
    <row r="22" spans="1:7" ht="30" customHeight="1">
      <c r="A22" s="21">
        <v>20</v>
      </c>
      <c r="B22" s="20" t="s">
        <v>41</v>
      </c>
      <c r="C22" s="12" t="s">
        <v>60</v>
      </c>
      <c r="D22" s="13" t="s">
        <v>61</v>
      </c>
      <c r="E22" s="14" t="s">
        <v>39</v>
      </c>
      <c r="F22" s="15" t="s">
        <v>40</v>
      </c>
      <c r="G22" s="18"/>
    </row>
    <row r="23" spans="1:7" ht="21.95" customHeight="1">
      <c r="A23" s="22">
        <v>21</v>
      </c>
      <c r="B23" s="23" t="s">
        <v>62</v>
      </c>
      <c r="C23" s="6" t="s">
        <v>63</v>
      </c>
      <c r="D23" s="7" t="s">
        <v>64</v>
      </c>
      <c r="E23" s="8" t="s">
        <v>18</v>
      </c>
      <c r="F23" s="9" t="s">
        <v>19</v>
      </c>
      <c r="G23" s="10"/>
    </row>
    <row r="24" spans="1:7" ht="21.95" customHeight="1">
      <c r="A24" s="24">
        <v>22</v>
      </c>
      <c r="B24" s="23" t="s">
        <v>62</v>
      </c>
      <c r="C24" s="12" t="s">
        <v>65</v>
      </c>
      <c r="D24" s="13" t="s">
        <v>66</v>
      </c>
      <c r="E24" s="14" t="s">
        <v>18</v>
      </c>
      <c r="F24" s="17" t="s">
        <v>24</v>
      </c>
      <c r="G24" s="10"/>
    </row>
    <row r="25" spans="1:7" ht="21.95" customHeight="1">
      <c r="A25" s="22">
        <v>23</v>
      </c>
      <c r="B25" s="23" t="s">
        <v>62</v>
      </c>
      <c r="C25" s="6" t="s">
        <v>67</v>
      </c>
      <c r="D25" s="7" t="s">
        <v>68</v>
      </c>
      <c r="E25" s="8" t="s">
        <v>18</v>
      </c>
      <c r="F25" s="16" t="s">
        <v>24</v>
      </c>
      <c r="G25" s="10"/>
    </row>
    <row r="26" spans="1:7" ht="21.95" customHeight="1">
      <c r="A26" s="24">
        <v>24</v>
      </c>
      <c r="B26" s="23" t="s">
        <v>62</v>
      </c>
      <c r="C26" s="12" t="s">
        <v>69</v>
      </c>
      <c r="D26" s="13" t="s">
        <v>70</v>
      </c>
      <c r="E26" s="14" t="s">
        <v>18</v>
      </c>
      <c r="F26" s="15" t="s">
        <v>19</v>
      </c>
      <c r="G26" s="10"/>
    </row>
    <row r="27" spans="1:7" ht="21.95" customHeight="1">
      <c r="A27" s="22">
        <v>25</v>
      </c>
      <c r="B27" s="23" t="s">
        <v>62</v>
      </c>
      <c r="C27" s="6" t="s">
        <v>71</v>
      </c>
      <c r="D27" s="7" t="s">
        <v>72</v>
      </c>
      <c r="E27" s="8" t="s">
        <v>18</v>
      </c>
      <c r="F27" s="16" t="s">
        <v>24</v>
      </c>
      <c r="G27" s="10"/>
    </row>
    <row r="28" spans="1:7" ht="21.95" customHeight="1">
      <c r="A28" s="24">
        <v>26</v>
      </c>
      <c r="B28" s="23" t="s">
        <v>62</v>
      </c>
      <c r="C28" s="12" t="s">
        <v>73</v>
      </c>
      <c r="D28" s="13" t="s">
        <v>74</v>
      </c>
      <c r="E28" s="14" t="s">
        <v>18</v>
      </c>
      <c r="F28" s="17" t="s">
        <v>24</v>
      </c>
      <c r="G28" s="10"/>
    </row>
    <row r="29" spans="1:7" ht="21.95" customHeight="1">
      <c r="A29" s="22">
        <v>27</v>
      </c>
      <c r="B29" s="23" t="s">
        <v>62</v>
      </c>
      <c r="C29" s="6" t="s">
        <v>75</v>
      </c>
      <c r="D29" s="7" t="s">
        <v>76</v>
      </c>
      <c r="E29" s="8" t="s">
        <v>18</v>
      </c>
      <c r="F29" s="16" t="s">
        <v>24</v>
      </c>
      <c r="G29" s="10"/>
    </row>
    <row r="30" spans="1:7" ht="21.95" customHeight="1">
      <c r="A30" s="24">
        <v>28</v>
      </c>
      <c r="B30" s="23" t="s">
        <v>62</v>
      </c>
      <c r="C30" s="12" t="s">
        <v>77</v>
      </c>
      <c r="D30" s="13" t="s">
        <v>78</v>
      </c>
      <c r="E30" s="14" t="s">
        <v>18</v>
      </c>
      <c r="F30" s="15" t="s">
        <v>19</v>
      </c>
      <c r="G30" s="10"/>
    </row>
    <row r="31" spans="1:7" ht="21.95" customHeight="1">
      <c r="A31" s="22">
        <v>29</v>
      </c>
      <c r="B31" s="23" t="s">
        <v>62</v>
      </c>
      <c r="C31" s="6" t="s">
        <v>79</v>
      </c>
      <c r="D31" s="7" t="s">
        <v>80</v>
      </c>
      <c r="E31" s="8" t="s">
        <v>18</v>
      </c>
      <c r="F31" s="9" t="s">
        <v>19</v>
      </c>
      <c r="G31" s="10"/>
    </row>
    <row r="32" spans="1:7" ht="21.95" customHeight="1">
      <c r="A32" s="24">
        <v>30</v>
      </c>
      <c r="B32" s="23" t="s">
        <v>62</v>
      </c>
      <c r="C32" s="12" t="s">
        <v>81</v>
      </c>
      <c r="D32" s="13" t="s">
        <v>82</v>
      </c>
      <c r="E32" s="14" t="s">
        <v>18</v>
      </c>
      <c r="F32" s="17" t="s">
        <v>24</v>
      </c>
      <c r="G32" s="10"/>
    </row>
    <row r="33" spans="1:7" ht="21.95" customHeight="1">
      <c r="A33" s="25">
        <v>31</v>
      </c>
      <c r="B33" s="26" t="s">
        <v>83</v>
      </c>
      <c r="C33" s="6" t="s">
        <v>84</v>
      </c>
      <c r="D33" s="7" t="s">
        <v>85</v>
      </c>
      <c r="E33" s="8" t="s">
        <v>18</v>
      </c>
      <c r="F33" s="9" t="s">
        <v>19</v>
      </c>
      <c r="G33" s="10"/>
    </row>
    <row r="34" spans="1:7" ht="21.95" customHeight="1">
      <c r="A34" s="27">
        <v>32</v>
      </c>
      <c r="B34" s="26" t="s">
        <v>83</v>
      </c>
      <c r="C34" s="12" t="s">
        <v>86</v>
      </c>
      <c r="D34" s="13" t="s">
        <v>87</v>
      </c>
      <c r="E34" s="14" t="s">
        <v>18</v>
      </c>
      <c r="F34" s="17" t="s">
        <v>24</v>
      </c>
      <c r="G34" s="10"/>
    </row>
    <row r="35" spans="1:7" ht="21.95" customHeight="1">
      <c r="A35" s="25">
        <v>33</v>
      </c>
      <c r="B35" s="26" t="s">
        <v>83</v>
      </c>
      <c r="C35" s="6" t="s">
        <v>88</v>
      </c>
      <c r="D35" s="7" t="s">
        <v>89</v>
      </c>
      <c r="E35" s="8" t="s">
        <v>18</v>
      </c>
      <c r="F35" s="9" t="s">
        <v>19</v>
      </c>
      <c r="G35" s="10"/>
    </row>
    <row r="36" spans="1:7" ht="21.95" customHeight="1">
      <c r="A36" s="27">
        <v>34</v>
      </c>
      <c r="B36" s="26" t="s">
        <v>83</v>
      </c>
      <c r="C36" s="12" t="s">
        <v>90</v>
      </c>
      <c r="D36" s="13" t="s">
        <v>91</v>
      </c>
      <c r="E36" s="14" t="s">
        <v>18</v>
      </c>
      <c r="F36" s="15" t="s">
        <v>19</v>
      </c>
      <c r="G36" s="10"/>
    </row>
    <row r="37" spans="1:7" ht="21.95" customHeight="1">
      <c r="A37" s="25">
        <v>35</v>
      </c>
      <c r="B37" s="26" t="s">
        <v>83</v>
      </c>
      <c r="C37" s="6" t="s">
        <v>92</v>
      </c>
      <c r="D37" s="7" t="s">
        <v>93</v>
      </c>
      <c r="E37" s="8" t="s">
        <v>18</v>
      </c>
      <c r="F37" s="9" t="s">
        <v>19</v>
      </c>
      <c r="G37" s="10"/>
    </row>
    <row r="38" spans="1:7" ht="21.95" customHeight="1">
      <c r="A38" s="27">
        <v>36</v>
      </c>
      <c r="B38" s="26" t="s">
        <v>83</v>
      </c>
      <c r="C38" s="12" t="s">
        <v>94</v>
      </c>
      <c r="D38" s="13" t="s">
        <v>95</v>
      </c>
      <c r="E38" s="14" t="s">
        <v>18</v>
      </c>
      <c r="F38" s="15" t="s">
        <v>19</v>
      </c>
      <c r="G38" s="10"/>
    </row>
    <row r="39" spans="1:7" ht="21.95" customHeight="1">
      <c r="A39" s="25">
        <v>37</v>
      </c>
      <c r="B39" s="26" t="s">
        <v>83</v>
      </c>
      <c r="C39" s="6" t="s">
        <v>96</v>
      </c>
      <c r="D39" s="7" t="s">
        <v>97</v>
      </c>
      <c r="E39" s="8" t="s">
        <v>18</v>
      </c>
      <c r="F39" s="16" t="s">
        <v>24</v>
      </c>
      <c r="G39" s="10"/>
    </row>
    <row r="40" spans="1:7" ht="21.95" customHeight="1">
      <c r="A40" s="27">
        <v>38</v>
      </c>
      <c r="B40" s="26" t="s">
        <v>83</v>
      </c>
      <c r="C40" s="12" t="s">
        <v>98</v>
      </c>
      <c r="D40" s="13" t="s">
        <v>99</v>
      </c>
      <c r="E40" s="14" t="s">
        <v>18</v>
      </c>
      <c r="F40" s="15" t="s">
        <v>19</v>
      </c>
      <c r="G40" s="10"/>
    </row>
    <row r="41" spans="1:7" ht="21.95" customHeight="1">
      <c r="A41" s="25">
        <v>39</v>
      </c>
      <c r="B41" s="26" t="s">
        <v>83</v>
      </c>
      <c r="C41" s="6" t="s">
        <v>100</v>
      </c>
      <c r="D41" s="7" t="s">
        <v>101</v>
      </c>
      <c r="E41" s="8" t="s">
        <v>18</v>
      </c>
      <c r="F41" s="9" t="s">
        <v>19</v>
      </c>
      <c r="G41" s="10"/>
    </row>
    <row r="42" spans="1:7" ht="30" customHeight="1">
      <c r="A42" s="27">
        <v>40</v>
      </c>
      <c r="B42" s="26" t="s">
        <v>83</v>
      </c>
      <c r="C42" s="12" t="s">
        <v>102</v>
      </c>
      <c r="D42" s="13" t="s">
        <v>103</v>
      </c>
      <c r="E42" s="14" t="s">
        <v>39</v>
      </c>
      <c r="F42" s="15" t="s">
        <v>40</v>
      </c>
      <c r="G42" s="18"/>
    </row>
    <row r="43" spans="1:7" ht="21.95" customHeight="1">
      <c r="A43" s="28">
        <v>41</v>
      </c>
      <c r="B43" s="29" t="s">
        <v>104</v>
      </c>
      <c r="C43" s="6" t="s">
        <v>105</v>
      </c>
      <c r="D43" s="7" t="s">
        <v>106</v>
      </c>
      <c r="E43" s="8" t="s">
        <v>18</v>
      </c>
      <c r="F43" s="16" t="s">
        <v>24</v>
      </c>
      <c r="G43" s="10"/>
    </row>
    <row r="44" spans="1:7" ht="21.95" customHeight="1">
      <c r="A44" s="30">
        <v>42</v>
      </c>
      <c r="B44" s="29" t="s">
        <v>104</v>
      </c>
      <c r="C44" s="12" t="s">
        <v>107</v>
      </c>
      <c r="D44" s="13" t="s">
        <v>108</v>
      </c>
      <c r="E44" s="14" t="s">
        <v>18</v>
      </c>
      <c r="F44" s="17" t="s">
        <v>24</v>
      </c>
      <c r="G44" s="10"/>
    </row>
    <row r="45" spans="1:7" ht="21.95" customHeight="1">
      <c r="A45" s="28">
        <v>43</v>
      </c>
      <c r="B45" s="29" t="s">
        <v>104</v>
      </c>
      <c r="C45" s="6" t="s">
        <v>109</v>
      </c>
      <c r="D45" s="7" t="s">
        <v>110</v>
      </c>
      <c r="E45" s="8" t="s">
        <v>18</v>
      </c>
      <c r="F45" s="9" t="s">
        <v>19</v>
      </c>
      <c r="G45" s="10"/>
    </row>
    <row r="46" spans="1:7" ht="21.95" customHeight="1">
      <c r="A46" s="30">
        <v>44</v>
      </c>
      <c r="B46" s="29" t="s">
        <v>104</v>
      </c>
      <c r="C46" s="12" t="s">
        <v>111</v>
      </c>
      <c r="D46" s="13" t="s">
        <v>112</v>
      </c>
      <c r="E46" s="14" t="s">
        <v>18</v>
      </c>
      <c r="F46" s="15" t="s">
        <v>19</v>
      </c>
      <c r="G46" s="10"/>
    </row>
    <row r="47" spans="1:7" ht="21.95" customHeight="1">
      <c r="A47" s="28">
        <v>45</v>
      </c>
      <c r="B47" s="29" t="s">
        <v>104</v>
      </c>
      <c r="C47" s="6" t="s">
        <v>113</v>
      </c>
      <c r="D47" s="7" t="s">
        <v>114</v>
      </c>
      <c r="E47" s="8" t="s">
        <v>18</v>
      </c>
      <c r="F47" s="16" t="s">
        <v>24</v>
      </c>
      <c r="G47" s="10"/>
    </row>
    <row r="48" spans="1:7" ht="21.95" customHeight="1">
      <c r="A48" s="30">
        <v>46</v>
      </c>
      <c r="B48" s="29" t="s">
        <v>104</v>
      </c>
      <c r="C48" s="12" t="s">
        <v>115</v>
      </c>
      <c r="D48" s="13" t="s">
        <v>116</v>
      </c>
      <c r="E48" s="14" t="s">
        <v>18</v>
      </c>
      <c r="F48" s="15" t="s">
        <v>19</v>
      </c>
      <c r="G48" s="10"/>
    </row>
    <row r="49" spans="1:7" ht="21.95" customHeight="1">
      <c r="A49" s="28">
        <v>47</v>
      </c>
      <c r="B49" s="29" t="s">
        <v>104</v>
      </c>
      <c r="C49" s="6" t="s">
        <v>117</v>
      </c>
      <c r="D49" s="7" t="s">
        <v>118</v>
      </c>
      <c r="E49" s="8" t="s">
        <v>18</v>
      </c>
      <c r="F49" s="9" t="s">
        <v>19</v>
      </c>
      <c r="G49" s="10"/>
    </row>
    <row r="50" spans="1:7" ht="21.95" customHeight="1">
      <c r="A50" s="30">
        <v>48</v>
      </c>
      <c r="B50" s="29" t="s">
        <v>104</v>
      </c>
      <c r="C50" s="12" t="s">
        <v>119</v>
      </c>
      <c r="D50" s="13" t="s">
        <v>120</v>
      </c>
      <c r="E50" s="14" t="s">
        <v>18</v>
      </c>
      <c r="F50" s="17" t="s">
        <v>24</v>
      </c>
      <c r="G50" s="10"/>
    </row>
    <row r="51" spans="1:7" ht="21.95" customHeight="1">
      <c r="A51" s="28">
        <v>49</v>
      </c>
      <c r="B51" s="29" t="s">
        <v>104</v>
      </c>
      <c r="C51" s="6" t="s">
        <v>121</v>
      </c>
      <c r="D51" s="7" t="s">
        <v>122</v>
      </c>
      <c r="E51" s="8" t="s">
        <v>18</v>
      </c>
      <c r="F51" s="16" t="s">
        <v>24</v>
      </c>
      <c r="G51" s="10"/>
    </row>
    <row r="52" spans="1:7" ht="30" customHeight="1">
      <c r="A52" s="30">
        <v>50</v>
      </c>
      <c r="B52" s="29" t="s">
        <v>104</v>
      </c>
      <c r="C52" s="12" t="s">
        <v>123</v>
      </c>
      <c r="D52" s="13" t="s">
        <v>124</v>
      </c>
      <c r="E52" s="14" t="s">
        <v>39</v>
      </c>
      <c r="F52" s="15" t="s">
        <v>40</v>
      </c>
      <c r="G52" s="18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workbookViewId="0">
      <selection activeCell="B11" sqref="B11"/>
    </sheetView>
  </sheetViews>
  <sheetFormatPr defaultRowHeight="14.45"/>
  <cols>
    <col min="1" max="1" width="31.7109375" customWidth="1"/>
    <col min="2" max="2" width="22" customWidth="1"/>
    <col min="3" max="3" width="18" customWidth="1"/>
    <col min="4" max="12" width="8" customWidth="1"/>
  </cols>
  <sheetData>
    <row r="1" spans="1:13" ht="26.1" customHeight="1">
      <c r="A1" s="101" t="s">
        <v>125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</row>
    <row r="2" spans="1:13" ht="21.95" customHeight="1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</row>
    <row r="3" spans="1:13" ht="20.100000000000001" customHeight="1">
      <c r="A3" s="31">
        <v>1</v>
      </c>
      <c r="B3" s="32" t="s">
        <v>138</v>
      </c>
      <c r="C3" s="32" t="s">
        <v>139</v>
      </c>
      <c r="D3" s="33" t="s">
        <v>140</v>
      </c>
      <c r="E3" s="33">
        <v>4</v>
      </c>
      <c r="F3" s="33">
        <v>2</v>
      </c>
      <c r="G3" s="33">
        <v>4</v>
      </c>
      <c r="H3" s="33">
        <v>3</v>
      </c>
      <c r="I3" s="33">
        <v>2</v>
      </c>
      <c r="J3" s="33">
        <v>3</v>
      </c>
      <c r="K3" s="33">
        <v>2</v>
      </c>
      <c r="L3" s="33">
        <v>4</v>
      </c>
      <c r="M3" s="33">
        <v>3</v>
      </c>
    </row>
    <row r="4" spans="1:13" ht="20.100000000000001" customHeight="1">
      <c r="A4" s="34">
        <v>2</v>
      </c>
      <c r="B4" s="35" t="s">
        <v>141</v>
      </c>
      <c r="C4" s="35" t="s">
        <v>142</v>
      </c>
      <c r="D4" s="36" t="s">
        <v>143</v>
      </c>
      <c r="E4" s="36">
        <v>3</v>
      </c>
      <c r="F4" s="36">
        <v>3</v>
      </c>
      <c r="G4" s="36">
        <v>3</v>
      </c>
      <c r="H4" s="36">
        <v>2</v>
      </c>
      <c r="I4" s="36">
        <v>2</v>
      </c>
      <c r="J4" s="36">
        <v>2</v>
      </c>
      <c r="K4" s="36">
        <v>2</v>
      </c>
      <c r="L4" s="36">
        <v>3</v>
      </c>
      <c r="M4" s="36">
        <v>2</v>
      </c>
    </row>
    <row r="5" spans="1:13" ht="20.100000000000001" customHeight="1">
      <c r="A5" s="31">
        <v>3</v>
      </c>
      <c r="B5" s="32" t="s">
        <v>144</v>
      </c>
      <c r="C5" s="32" t="s">
        <v>139</v>
      </c>
      <c r="D5" s="33" t="s">
        <v>145</v>
      </c>
      <c r="E5" s="33">
        <v>2</v>
      </c>
      <c r="F5" s="33">
        <v>2</v>
      </c>
      <c r="G5" s="33">
        <v>3</v>
      </c>
      <c r="H5" s="33">
        <v>3</v>
      </c>
      <c r="I5" s="33">
        <v>3</v>
      </c>
      <c r="J5" s="33">
        <v>3</v>
      </c>
      <c r="K5" s="33">
        <v>3</v>
      </c>
      <c r="L5" s="33">
        <v>3</v>
      </c>
      <c r="M5" s="33">
        <v>2</v>
      </c>
    </row>
    <row r="6" spans="1:13" ht="20.100000000000001" customHeight="1">
      <c r="A6" s="34">
        <v>4</v>
      </c>
      <c r="B6" s="35" t="s">
        <v>146</v>
      </c>
      <c r="C6" s="35" t="s">
        <v>147</v>
      </c>
      <c r="D6" s="36" t="s">
        <v>140</v>
      </c>
      <c r="E6" s="36">
        <v>2</v>
      </c>
      <c r="F6" s="36">
        <v>3</v>
      </c>
      <c r="G6" s="36">
        <v>4</v>
      </c>
      <c r="H6" s="36">
        <v>2</v>
      </c>
      <c r="I6" s="36">
        <v>2</v>
      </c>
      <c r="J6" s="36">
        <v>2</v>
      </c>
      <c r="K6" s="36">
        <v>2</v>
      </c>
      <c r="L6" s="36">
        <v>4</v>
      </c>
      <c r="M6" s="36">
        <v>3</v>
      </c>
    </row>
    <row r="7" spans="1:13" ht="20.100000000000001" customHeight="1">
      <c r="A7" s="31">
        <v>5</v>
      </c>
      <c r="B7" s="32" t="s">
        <v>148</v>
      </c>
      <c r="C7" s="32" t="s">
        <v>149</v>
      </c>
      <c r="D7" s="33" t="s">
        <v>143</v>
      </c>
      <c r="E7" s="33">
        <v>3</v>
      </c>
      <c r="F7" s="33">
        <v>2</v>
      </c>
      <c r="G7" s="33">
        <v>3</v>
      </c>
      <c r="H7" s="33">
        <v>3</v>
      </c>
      <c r="I7" s="33">
        <v>2</v>
      </c>
      <c r="J7" s="33">
        <v>3</v>
      </c>
      <c r="K7" s="33">
        <v>3</v>
      </c>
      <c r="L7" s="33">
        <v>3</v>
      </c>
      <c r="M7" s="33">
        <v>2</v>
      </c>
    </row>
    <row r="8" spans="1:13" ht="20.100000000000001" customHeight="1">
      <c r="A8" s="34">
        <v>6</v>
      </c>
      <c r="B8" s="37"/>
      <c r="C8" s="37"/>
      <c r="D8" s="38"/>
      <c r="E8" s="38"/>
      <c r="F8" s="38"/>
      <c r="G8" s="38"/>
      <c r="H8" s="38"/>
      <c r="I8" s="38"/>
      <c r="J8" s="38"/>
      <c r="K8" s="38"/>
      <c r="L8" s="38"/>
    </row>
    <row r="9" spans="1:13" ht="20.100000000000001" customHeight="1">
      <c r="A9" s="31">
        <v>7</v>
      </c>
      <c r="B9" s="37"/>
      <c r="C9" s="37"/>
      <c r="D9" s="38"/>
      <c r="E9" s="38"/>
      <c r="F9" s="38"/>
      <c r="G9" s="38"/>
      <c r="H9" s="38"/>
      <c r="I9" s="38"/>
      <c r="J9" s="38"/>
      <c r="K9" s="38"/>
      <c r="L9" s="38"/>
    </row>
    <row r="10" spans="1:13" ht="24" customHeight="1">
      <c r="A10" s="98" t="s">
        <v>150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8"/>
    </row>
    <row r="11" spans="1:13" ht="26.1" customHeight="1">
      <c r="A11" s="39" t="s">
        <v>151</v>
      </c>
      <c r="B11" s="40">
        <v>2.4</v>
      </c>
      <c r="C11" s="41" t="s">
        <v>152</v>
      </c>
      <c r="D11" s="38"/>
      <c r="E11" s="38"/>
      <c r="F11" s="38"/>
      <c r="G11" s="38"/>
      <c r="H11" s="38"/>
      <c r="I11" s="38"/>
      <c r="J11" s="38"/>
      <c r="K11" s="38"/>
      <c r="L11" s="38"/>
    </row>
    <row r="12" spans="1:13" ht="26.1" customHeight="1">
      <c r="A12" s="42" t="s">
        <v>153</v>
      </c>
      <c r="B12" s="43">
        <v>3.1</v>
      </c>
      <c r="C12" s="44" t="s">
        <v>152</v>
      </c>
      <c r="D12" s="38"/>
      <c r="E12" s="38"/>
      <c r="F12" s="38"/>
      <c r="G12" s="38"/>
      <c r="H12" s="38"/>
      <c r="I12" s="38"/>
      <c r="J12" s="38"/>
      <c r="K12" s="38"/>
      <c r="L12" s="38"/>
    </row>
    <row r="13" spans="1:13" ht="26.1" customHeight="1">
      <c r="A13" s="45" t="s">
        <v>154</v>
      </c>
      <c r="B13" s="46">
        <v>3.8</v>
      </c>
      <c r="C13" s="47" t="s">
        <v>152</v>
      </c>
    </row>
    <row r="14" spans="1:13" ht="26.1" customHeight="1">
      <c r="A14" s="48" t="s">
        <v>155</v>
      </c>
      <c r="B14" s="49">
        <v>2.6</v>
      </c>
      <c r="C14" s="50" t="s">
        <v>152</v>
      </c>
    </row>
    <row r="15" spans="1:13" ht="26.1" customHeight="1">
      <c r="A15" s="51" t="s">
        <v>156</v>
      </c>
      <c r="B15" s="52">
        <v>2.2000000000000002</v>
      </c>
      <c r="C15" s="53" t="s">
        <v>152</v>
      </c>
    </row>
  </sheetData>
  <mergeCells count="2">
    <mergeCell ref="A10:L10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workbookViewId="0">
      <selection activeCell="I9" sqref="I9"/>
    </sheetView>
  </sheetViews>
  <sheetFormatPr defaultRowHeight="14.45"/>
  <cols>
    <col min="1" max="1" width="26" customWidth="1"/>
    <col min="2" max="2" width="10" customWidth="1"/>
    <col min="3" max="3" width="12" customWidth="1"/>
    <col min="4" max="4" width="20" customWidth="1"/>
    <col min="5" max="5" width="14" customWidth="1"/>
    <col min="6" max="6" width="20" customWidth="1"/>
    <col min="7" max="7" width="14" customWidth="1"/>
    <col min="8" max="8" width="42" customWidth="1"/>
    <col min="9" max="9" width="38" customWidth="1"/>
  </cols>
  <sheetData>
    <row r="1" spans="1:9" ht="27.95" customHeight="1">
      <c r="A1" s="102" t="s">
        <v>157</v>
      </c>
      <c r="B1" s="107"/>
      <c r="C1" s="107"/>
      <c r="D1" s="107"/>
      <c r="E1" s="107"/>
      <c r="F1" s="107"/>
      <c r="G1" s="107"/>
      <c r="H1" s="107"/>
      <c r="I1" s="108"/>
    </row>
    <row r="2" spans="1:9" ht="20.100000000000001" customHeight="1">
      <c r="A2" s="54" t="s">
        <v>158</v>
      </c>
      <c r="B2" s="35" t="s">
        <v>159</v>
      </c>
    </row>
    <row r="3" spans="1:9" ht="20.100000000000001" customHeight="1">
      <c r="A3" s="54" t="s">
        <v>160</v>
      </c>
      <c r="B3" s="35" t="s">
        <v>161</v>
      </c>
    </row>
    <row r="4" spans="1:9" ht="20.100000000000001" customHeight="1">
      <c r="A4" s="54" t="s">
        <v>162</v>
      </c>
      <c r="B4" s="35">
        <v>38</v>
      </c>
    </row>
    <row r="5" spans="1:9" ht="20.100000000000001" customHeight="1">
      <c r="A5" s="54" t="s">
        <v>163</v>
      </c>
      <c r="B5" s="35" t="s">
        <v>164</v>
      </c>
    </row>
    <row r="6" spans="1:9" ht="20.100000000000001" customHeight="1">
      <c r="A6" s="54" t="s">
        <v>165</v>
      </c>
      <c r="B6" s="35" t="s">
        <v>166</v>
      </c>
    </row>
    <row r="8" spans="1:9" ht="21.95" customHeight="1">
      <c r="A8" s="55" t="s">
        <v>167</v>
      </c>
      <c r="B8" s="55" t="s">
        <v>168</v>
      </c>
      <c r="C8" s="55" t="s">
        <v>169</v>
      </c>
      <c r="D8" s="55" t="s">
        <v>170</v>
      </c>
      <c r="E8" s="55" t="s">
        <v>171</v>
      </c>
      <c r="F8" s="55" t="s">
        <v>172</v>
      </c>
      <c r="G8" s="55" t="s">
        <v>173</v>
      </c>
      <c r="H8" s="55" t="s">
        <v>174</v>
      </c>
      <c r="I8" s="55" t="s">
        <v>175</v>
      </c>
    </row>
    <row r="9" spans="1:9" ht="30" customHeight="1">
      <c r="A9" s="56" t="s">
        <v>151</v>
      </c>
      <c r="B9" s="57">
        <v>2.4</v>
      </c>
      <c r="C9" s="58">
        <v>2.7</v>
      </c>
      <c r="D9" s="58" t="s">
        <v>176</v>
      </c>
      <c r="E9" s="58" t="s">
        <v>177</v>
      </c>
      <c r="F9" s="58" t="s">
        <v>178</v>
      </c>
      <c r="G9" s="59" t="s">
        <v>19</v>
      </c>
      <c r="H9" s="59" t="s">
        <v>179</v>
      </c>
      <c r="I9" s="59" t="s">
        <v>180</v>
      </c>
    </row>
    <row r="10" spans="1:9" ht="30" customHeight="1">
      <c r="A10" s="60" t="s">
        <v>153</v>
      </c>
      <c r="B10" s="61">
        <v>3.1</v>
      </c>
      <c r="C10" s="57">
        <v>3.1</v>
      </c>
      <c r="D10" s="57" t="s">
        <v>181</v>
      </c>
      <c r="E10" s="57" t="s">
        <v>182</v>
      </c>
      <c r="F10" s="57" t="s">
        <v>183</v>
      </c>
      <c r="G10" s="62" t="s">
        <v>19</v>
      </c>
      <c r="H10" s="62" t="s">
        <v>184</v>
      </c>
      <c r="I10" s="62" t="s">
        <v>185</v>
      </c>
    </row>
    <row r="11" spans="1:9" ht="30" customHeight="1">
      <c r="A11" s="63" t="s">
        <v>154</v>
      </c>
      <c r="B11" s="57">
        <v>3.8</v>
      </c>
      <c r="C11" s="58">
        <v>4.3</v>
      </c>
      <c r="D11" s="58" t="s">
        <v>186</v>
      </c>
      <c r="E11" s="58" t="s">
        <v>182</v>
      </c>
      <c r="F11" s="58" t="s">
        <v>187</v>
      </c>
      <c r="G11" s="59" t="s">
        <v>188</v>
      </c>
      <c r="H11" s="59" t="s">
        <v>189</v>
      </c>
      <c r="I11" s="59" t="s">
        <v>190</v>
      </c>
    </row>
    <row r="12" spans="1:9" ht="30" customHeight="1">
      <c r="A12" s="64" t="s">
        <v>155</v>
      </c>
      <c r="B12" s="65">
        <v>2.6</v>
      </c>
      <c r="C12" s="57">
        <v>3</v>
      </c>
      <c r="D12" s="57" t="s">
        <v>176</v>
      </c>
      <c r="E12" s="57" t="s">
        <v>177</v>
      </c>
      <c r="F12" s="57" t="s">
        <v>191</v>
      </c>
      <c r="G12" s="62" t="s">
        <v>188</v>
      </c>
      <c r="H12" s="62" t="s">
        <v>192</v>
      </c>
      <c r="I12" s="62" t="s">
        <v>193</v>
      </c>
    </row>
    <row r="13" spans="1:9" ht="30" customHeight="1">
      <c r="A13" s="66" t="s">
        <v>156</v>
      </c>
      <c r="B13" s="57">
        <v>2.2000000000000002</v>
      </c>
      <c r="C13" s="58">
        <v>2.8</v>
      </c>
      <c r="D13" s="58" t="s">
        <v>194</v>
      </c>
      <c r="E13" s="58" t="s">
        <v>177</v>
      </c>
      <c r="F13" s="58" t="s">
        <v>195</v>
      </c>
      <c r="G13" s="59" t="s">
        <v>188</v>
      </c>
      <c r="H13" s="59" t="s">
        <v>196</v>
      </c>
      <c r="I13" s="59" t="s">
        <v>197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zoomScale="140" zoomScaleNormal="140" workbookViewId="0">
      <selection activeCell="A3" sqref="A3"/>
    </sheetView>
  </sheetViews>
  <sheetFormatPr defaultRowHeight="14.45"/>
  <cols>
    <col min="1" max="1" width="38" customWidth="1"/>
    <col min="2" max="2" width="22" customWidth="1"/>
    <col min="3" max="3" width="14" customWidth="1"/>
    <col min="4" max="4" width="10" customWidth="1"/>
    <col min="5" max="5" width="18" customWidth="1"/>
    <col min="6" max="6" width="55" customWidth="1"/>
    <col min="7" max="7" width="50" customWidth="1"/>
  </cols>
  <sheetData>
    <row r="1" spans="1:7" ht="27.95" customHeight="1">
      <c r="A1" s="103" t="s">
        <v>198</v>
      </c>
      <c r="B1" s="107"/>
      <c r="C1" s="107"/>
      <c r="D1" s="107"/>
      <c r="E1" s="107"/>
      <c r="F1" s="107"/>
      <c r="G1" s="108"/>
    </row>
    <row r="2" spans="1:7" ht="21.95" customHeight="1">
      <c r="A2" s="67" t="s">
        <v>199</v>
      </c>
      <c r="B2" s="67" t="s">
        <v>200</v>
      </c>
      <c r="C2" s="67" t="s">
        <v>201</v>
      </c>
      <c r="D2" s="67" t="s">
        <v>202</v>
      </c>
      <c r="E2" s="67" t="s">
        <v>203</v>
      </c>
      <c r="F2" s="67" t="s">
        <v>204</v>
      </c>
      <c r="G2" s="67" t="s">
        <v>205</v>
      </c>
    </row>
    <row r="3" spans="1:7" ht="56.1" customHeight="1">
      <c r="A3" s="12" t="s">
        <v>206</v>
      </c>
      <c r="B3" s="12" t="s">
        <v>207</v>
      </c>
      <c r="C3" s="68">
        <v>18</v>
      </c>
      <c r="D3" s="68">
        <f>C3/38*100</f>
        <v>47.368421052631575</v>
      </c>
      <c r="E3" s="68" t="str">
        <f>IF(D3&gt;=30,"PROMOTED",IF(D3&gt;=15,"INVESTIGATE","Monitor"))</f>
        <v>PROMOTED</v>
      </c>
      <c r="F3" s="12" t="s">
        <v>208</v>
      </c>
      <c r="G3" s="12" t="s">
        <v>209</v>
      </c>
    </row>
    <row r="4" spans="1:7" ht="56.1" customHeight="1">
      <c r="A4" s="6" t="s">
        <v>210</v>
      </c>
      <c r="B4" s="6" t="s">
        <v>211</v>
      </c>
      <c r="C4" s="69">
        <v>16</v>
      </c>
      <c r="D4" s="69">
        <f>C4/38*100</f>
        <v>42.105263157894733</v>
      </c>
      <c r="E4" s="69" t="str">
        <f>IF(D4&gt;=30,"PROMOTED",IF(D4&gt;=15,"INVESTIGATE","Monitor"))</f>
        <v>PROMOTED</v>
      </c>
      <c r="F4" s="6" t="s">
        <v>212</v>
      </c>
      <c r="G4" s="6" t="s">
        <v>213</v>
      </c>
    </row>
    <row r="5" spans="1:7" ht="56.1" customHeight="1">
      <c r="A5" s="12" t="s">
        <v>86</v>
      </c>
      <c r="B5" s="12" t="s">
        <v>214</v>
      </c>
      <c r="C5" s="68">
        <v>13</v>
      </c>
      <c r="D5" s="68">
        <f>C5/38*100</f>
        <v>34.210526315789473</v>
      </c>
      <c r="E5" s="68" t="str">
        <f>IF(D5&gt;=30,"PROMOTED",IF(D5&gt;=15,"INVESTIGATE","Monitor"))</f>
        <v>PROMOTED</v>
      </c>
      <c r="F5" s="12" t="s">
        <v>215</v>
      </c>
      <c r="G5" s="12" t="s">
        <v>216</v>
      </c>
    </row>
    <row r="6" spans="1:7" ht="56.1" customHeight="1">
      <c r="A6" s="6" t="s">
        <v>217</v>
      </c>
      <c r="B6" s="6" t="s">
        <v>207</v>
      </c>
      <c r="C6" s="69">
        <v>11</v>
      </c>
      <c r="D6" s="69">
        <f>C6/38*100</f>
        <v>28.947368421052634</v>
      </c>
      <c r="E6" s="69" t="str">
        <f>IF(D6&gt;=30,"PROMOTED",IF(D6&gt;=15,"INVESTIGATE","Monitor"))</f>
        <v>INVESTIGATE</v>
      </c>
      <c r="F6" s="6" t="s">
        <v>218</v>
      </c>
      <c r="G6" s="6" t="s">
        <v>219</v>
      </c>
    </row>
    <row r="7" spans="1:7" ht="56.1" customHeight="1">
      <c r="A7" s="37"/>
      <c r="B7" s="37"/>
      <c r="C7" s="37"/>
      <c r="D7" s="37"/>
      <c r="E7" s="37"/>
      <c r="F7" s="37"/>
      <c r="G7" s="37"/>
    </row>
    <row r="8" spans="1:7" ht="56.1" customHeight="1">
      <c r="A8" s="37"/>
      <c r="B8" s="37"/>
      <c r="C8" s="37"/>
      <c r="D8" s="37"/>
      <c r="E8" s="37"/>
      <c r="F8" s="37"/>
      <c r="G8" s="37"/>
    </row>
    <row r="9" spans="1:7" ht="56.1" customHeight="1">
      <c r="A9" s="37"/>
      <c r="B9" s="37"/>
      <c r="C9" s="37"/>
      <c r="D9" s="37"/>
      <c r="E9" s="37"/>
      <c r="F9" s="37"/>
      <c r="G9" s="37"/>
    </row>
    <row r="10" spans="1:7" ht="56.1" customHeight="1">
      <c r="A10" s="37"/>
      <c r="B10" s="37"/>
      <c r="C10" s="37"/>
      <c r="D10" s="37"/>
      <c r="E10" s="37"/>
      <c r="F10" s="37"/>
      <c r="G10" s="37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workbookViewId="0">
      <selection sqref="A1:I1"/>
    </sheetView>
  </sheetViews>
  <sheetFormatPr defaultRowHeight="14.45"/>
  <cols>
    <col min="1" max="1" width="38" customWidth="1"/>
    <col min="2" max="3" width="18" customWidth="1"/>
    <col min="4" max="4" width="28" customWidth="1"/>
    <col min="5" max="6" width="18" customWidth="1"/>
    <col min="7" max="7" width="16" customWidth="1"/>
    <col min="8" max="8" width="18" customWidth="1"/>
    <col min="9" max="9" width="22" customWidth="1"/>
  </cols>
  <sheetData>
    <row r="1" spans="1:9" ht="27.95" customHeight="1">
      <c r="A1" s="104" t="s">
        <v>220</v>
      </c>
      <c r="B1" s="107"/>
      <c r="C1" s="107"/>
      <c r="D1" s="107"/>
      <c r="E1" s="107"/>
      <c r="F1" s="107"/>
      <c r="G1" s="107"/>
      <c r="H1" s="107"/>
      <c r="I1" s="108"/>
    </row>
    <row r="2" spans="1:9" ht="21.95" customHeight="1">
      <c r="A2" s="70" t="s">
        <v>221</v>
      </c>
      <c r="B2" s="70" t="s">
        <v>222</v>
      </c>
      <c r="C2" s="70" t="s">
        <v>223</v>
      </c>
      <c r="D2" s="70" t="s">
        <v>224</v>
      </c>
      <c r="E2" s="70" t="s">
        <v>225</v>
      </c>
      <c r="F2" s="70" t="s">
        <v>226</v>
      </c>
      <c r="G2" s="70" t="s">
        <v>227</v>
      </c>
      <c r="H2" s="70" t="s">
        <v>228</v>
      </c>
      <c r="I2" s="70" t="s">
        <v>229</v>
      </c>
    </row>
    <row r="3" spans="1:9" ht="30" customHeight="1">
      <c r="A3" s="62" t="s">
        <v>230</v>
      </c>
      <c r="B3" s="62" t="s">
        <v>231</v>
      </c>
      <c r="C3" s="62" t="s">
        <v>232</v>
      </c>
      <c r="D3" s="62" t="s">
        <v>233</v>
      </c>
      <c r="E3" s="62" t="s">
        <v>234</v>
      </c>
      <c r="F3" s="62" t="s">
        <v>235</v>
      </c>
      <c r="G3" s="62" t="s">
        <v>236</v>
      </c>
      <c r="H3" s="71" t="s">
        <v>237</v>
      </c>
      <c r="I3" s="72" t="s">
        <v>238</v>
      </c>
    </row>
    <row r="4" spans="1:9" ht="30" customHeight="1">
      <c r="A4" s="59" t="s">
        <v>239</v>
      </c>
      <c r="B4" s="59" t="s">
        <v>240</v>
      </c>
      <c r="C4" s="59" t="s">
        <v>241</v>
      </c>
      <c r="D4" s="59" t="s">
        <v>242</v>
      </c>
      <c r="E4" s="59" t="s">
        <v>243</v>
      </c>
      <c r="F4" s="59" t="s">
        <v>244</v>
      </c>
      <c r="G4" s="59" t="s">
        <v>236</v>
      </c>
      <c r="H4" s="73" t="s">
        <v>237</v>
      </c>
      <c r="I4" s="74" t="s">
        <v>238</v>
      </c>
    </row>
    <row r="5" spans="1:9" ht="30" customHeight="1">
      <c r="A5" s="62" t="s">
        <v>245</v>
      </c>
      <c r="B5" s="62" t="s">
        <v>246</v>
      </c>
      <c r="C5" s="62" t="s">
        <v>247</v>
      </c>
      <c r="D5" s="62" t="s">
        <v>248</v>
      </c>
      <c r="E5" s="62" t="s">
        <v>249</v>
      </c>
      <c r="F5" s="62" t="s">
        <v>250</v>
      </c>
      <c r="G5" s="62" t="s">
        <v>236</v>
      </c>
      <c r="H5" s="71" t="s">
        <v>237</v>
      </c>
      <c r="I5" s="72" t="s">
        <v>238</v>
      </c>
    </row>
    <row r="6" spans="1:9" ht="30" customHeight="1">
      <c r="A6" s="59" t="s">
        <v>251</v>
      </c>
      <c r="B6" s="59" t="s">
        <v>252</v>
      </c>
      <c r="C6" s="59" t="s">
        <v>232</v>
      </c>
      <c r="D6" s="59" t="s">
        <v>253</v>
      </c>
      <c r="E6" s="59" t="s">
        <v>254</v>
      </c>
      <c r="F6" s="59" t="s">
        <v>255</v>
      </c>
      <c r="G6" s="59" t="s">
        <v>256</v>
      </c>
      <c r="H6" s="73" t="s">
        <v>257</v>
      </c>
      <c r="I6" s="74" t="s">
        <v>258</v>
      </c>
    </row>
    <row r="7" spans="1:9" ht="30" customHeight="1">
      <c r="A7" s="62" t="s">
        <v>259</v>
      </c>
      <c r="B7" s="62" t="s">
        <v>260</v>
      </c>
      <c r="C7" s="62" t="s">
        <v>261</v>
      </c>
      <c r="D7" s="62" t="s">
        <v>262</v>
      </c>
      <c r="E7" s="62" t="s">
        <v>263</v>
      </c>
      <c r="F7" s="62" t="s">
        <v>264</v>
      </c>
      <c r="G7" s="62" t="s">
        <v>265</v>
      </c>
      <c r="H7" s="71" t="s">
        <v>266</v>
      </c>
      <c r="I7" s="72" t="s">
        <v>267</v>
      </c>
    </row>
    <row r="8" spans="1:9" ht="30" customHeight="1">
      <c r="A8" s="59" t="s">
        <v>268</v>
      </c>
      <c r="B8" s="59" t="s">
        <v>269</v>
      </c>
      <c r="C8" s="59" t="s">
        <v>262</v>
      </c>
      <c r="D8" s="59" t="s">
        <v>262</v>
      </c>
      <c r="E8" s="59" t="s">
        <v>262</v>
      </c>
      <c r="F8" s="59" t="s">
        <v>262</v>
      </c>
      <c r="G8" s="59" t="s">
        <v>262</v>
      </c>
      <c r="H8" s="73" t="s">
        <v>266</v>
      </c>
      <c r="I8" s="74" t="s">
        <v>270</v>
      </c>
    </row>
    <row r="9" spans="1:9" ht="30" customHeight="1">
      <c r="A9" s="32"/>
      <c r="B9" s="32"/>
      <c r="C9" s="32"/>
      <c r="D9" s="37"/>
      <c r="E9" s="37"/>
      <c r="F9" s="32"/>
      <c r="G9" s="32"/>
      <c r="H9" s="32"/>
      <c r="I9" s="32"/>
    </row>
    <row r="10" spans="1:9" ht="30" customHeight="1">
      <c r="A10" s="35"/>
      <c r="B10" s="35"/>
      <c r="C10" s="35"/>
      <c r="D10" s="37"/>
      <c r="E10" s="37"/>
      <c r="F10" s="35"/>
      <c r="G10" s="35"/>
      <c r="H10" s="35"/>
      <c r="I10" s="35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zoomScaleNormal="100" workbookViewId="0">
      <selection activeCell="A8" sqref="A8"/>
    </sheetView>
  </sheetViews>
  <sheetFormatPr defaultRowHeight="14.45"/>
  <cols>
    <col min="1" max="1" width="32" customWidth="1"/>
    <col min="2" max="2" width="14" customWidth="1"/>
    <col min="3" max="4" width="18" customWidth="1"/>
    <col min="5" max="5" width="52" customWidth="1"/>
    <col min="6" max="6" width="50" customWidth="1"/>
    <col min="7" max="7" width="18" customWidth="1"/>
    <col min="8" max="8" width="50" customWidth="1"/>
  </cols>
  <sheetData>
    <row r="1" spans="1:8" ht="27.95" customHeight="1">
      <c r="A1" s="105" t="s">
        <v>271</v>
      </c>
      <c r="B1" s="107"/>
      <c r="C1" s="107"/>
      <c r="D1" s="107"/>
      <c r="E1" s="107"/>
      <c r="F1" s="107"/>
      <c r="G1" s="107"/>
      <c r="H1" s="108"/>
    </row>
    <row r="2" spans="1:8" ht="21.95" customHeight="1">
      <c r="A2" s="75" t="s">
        <v>272</v>
      </c>
      <c r="B2" s="75" t="s">
        <v>273</v>
      </c>
      <c r="C2" s="75" t="s">
        <v>274</v>
      </c>
      <c r="D2" s="75" t="s">
        <v>275</v>
      </c>
      <c r="E2" s="75" t="s">
        <v>276</v>
      </c>
      <c r="F2" s="75" t="s">
        <v>277</v>
      </c>
      <c r="G2" s="75" t="s">
        <v>278</v>
      </c>
      <c r="H2" s="75" t="s">
        <v>205</v>
      </c>
    </row>
    <row r="3" spans="1:8" ht="69.95" customHeight="1">
      <c r="A3" s="76" t="s">
        <v>279</v>
      </c>
      <c r="B3" s="77" t="s">
        <v>280</v>
      </c>
      <c r="C3" s="77" t="s">
        <v>281</v>
      </c>
      <c r="D3" s="77" t="s">
        <v>282</v>
      </c>
      <c r="E3" s="76" t="s">
        <v>283</v>
      </c>
      <c r="F3" s="76" t="s">
        <v>40</v>
      </c>
      <c r="G3" s="77" t="s">
        <v>284</v>
      </c>
      <c r="H3" s="76"/>
    </row>
    <row r="4" spans="1:8" ht="69.95" customHeight="1">
      <c r="A4" s="78" t="s">
        <v>285</v>
      </c>
      <c r="B4" s="79" t="s">
        <v>286</v>
      </c>
      <c r="C4" s="80" t="s">
        <v>287</v>
      </c>
      <c r="D4" s="80" t="s">
        <v>288</v>
      </c>
      <c r="E4" s="81" t="s">
        <v>289</v>
      </c>
      <c r="F4" s="81" t="s">
        <v>290</v>
      </c>
      <c r="G4" s="80" t="s">
        <v>291</v>
      </c>
      <c r="H4" s="81" t="s">
        <v>292</v>
      </c>
    </row>
    <row r="5" spans="1:8" ht="69.95" customHeight="1">
      <c r="A5" s="76" t="s">
        <v>293</v>
      </c>
      <c r="B5" s="77" t="s">
        <v>294</v>
      </c>
      <c r="C5" s="77" t="s">
        <v>281</v>
      </c>
      <c r="D5" s="77" t="s">
        <v>295</v>
      </c>
      <c r="E5" s="76" t="s">
        <v>296</v>
      </c>
      <c r="F5" s="76" t="s">
        <v>297</v>
      </c>
      <c r="G5" s="77" t="s">
        <v>284</v>
      </c>
      <c r="H5" s="76"/>
    </row>
    <row r="6" spans="1:8" ht="69.95" customHeight="1">
      <c r="A6" s="78" t="s">
        <v>298</v>
      </c>
      <c r="B6" s="79" t="s">
        <v>299</v>
      </c>
      <c r="C6" s="80" t="s">
        <v>300</v>
      </c>
      <c r="D6" s="80" t="s">
        <v>301</v>
      </c>
      <c r="E6" s="81" t="s">
        <v>302</v>
      </c>
      <c r="F6" s="81" t="s">
        <v>303</v>
      </c>
      <c r="G6" s="80" t="s">
        <v>291</v>
      </c>
      <c r="H6" s="81" t="s">
        <v>304</v>
      </c>
    </row>
    <row r="7" spans="1:8" ht="69.95" customHeight="1">
      <c r="A7" s="82" t="s">
        <v>305</v>
      </c>
      <c r="B7" s="83" t="s">
        <v>306</v>
      </c>
      <c r="C7" s="77" t="s">
        <v>307</v>
      </c>
      <c r="D7" s="77" t="s">
        <v>308</v>
      </c>
      <c r="E7" s="76" t="s">
        <v>309</v>
      </c>
      <c r="F7" s="76" t="s">
        <v>310</v>
      </c>
      <c r="G7" s="77" t="s">
        <v>311</v>
      </c>
      <c r="H7" s="76" t="s">
        <v>312</v>
      </c>
    </row>
    <row r="8" spans="1:8" ht="69.95" customHeight="1">
      <c r="A8" s="82" t="s">
        <v>313</v>
      </c>
      <c r="B8" s="83" t="s">
        <v>314</v>
      </c>
      <c r="C8" s="80" t="s">
        <v>307</v>
      </c>
      <c r="D8" s="80" t="s">
        <v>315</v>
      </c>
      <c r="E8" s="81" t="s">
        <v>316</v>
      </c>
      <c r="F8" s="81" t="s">
        <v>317</v>
      </c>
      <c r="G8" s="80" t="s">
        <v>311</v>
      </c>
      <c r="H8" s="81" t="s">
        <v>318</v>
      </c>
    </row>
    <row r="9" spans="1:8" ht="69.95" customHeight="1">
      <c r="A9" s="37"/>
      <c r="B9" s="37"/>
      <c r="C9" s="37"/>
      <c r="D9" s="37"/>
      <c r="E9" s="37"/>
      <c r="F9" s="37"/>
      <c r="G9" s="37"/>
      <c r="H9" s="37"/>
    </row>
    <row r="10" spans="1:8" ht="69.95" customHeight="1">
      <c r="A10" s="37"/>
      <c r="B10" s="37"/>
      <c r="C10" s="37"/>
      <c r="D10" s="37"/>
      <c r="E10" s="37"/>
      <c r="F10" s="37"/>
      <c r="G10" s="37"/>
      <c r="H10" s="37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showGridLines="0" tabSelected="1" workbookViewId="0">
      <selection activeCell="N11" sqref="N11"/>
    </sheetView>
  </sheetViews>
  <sheetFormatPr defaultRowHeight="14.45"/>
  <cols>
    <col min="1" max="1" width="36" customWidth="1"/>
    <col min="2" max="6" width="18" customWidth="1"/>
    <col min="7" max="7" width="16" customWidth="1"/>
    <col min="8" max="8" width="18" customWidth="1"/>
    <col min="9" max="9" width="28" customWidth="1"/>
    <col min="10" max="10" width="18" customWidth="1"/>
    <col min="11" max="11" width="16" customWidth="1"/>
  </cols>
  <sheetData>
    <row r="1" spans="1:11" ht="27.95" customHeight="1">
      <c r="A1" s="98" t="s">
        <v>319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</row>
    <row r="2" spans="1:11" ht="21.95" customHeight="1">
      <c r="A2" s="84" t="s">
        <v>320</v>
      </c>
      <c r="B2" s="84" t="s">
        <v>321</v>
      </c>
      <c r="C2" s="84" t="s">
        <v>322</v>
      </c>
      <c r="D2" s="84" t="s">
        <v>167</v>
      </c>
      <c r="E2" s="84" t="s">
        <v>168</v>
      </c>
      <c r="F2" s="84" t="s">
        <v>323</v>
      </c>
      <c r="G2" s="84" t="s">
        <v>324</v>
      </c>
      <c r="H2" s="84" t="s">
        <v>325</v>
      </c>
      <c r="I2" s="84" t="s">
        <v>326</v>
      </c>
      <c r="J2" s="84" t="s">
        <v>171</v>
      </c>
      <c r="K2" s="84" t="s">
        <v>327</v>
      </c>
    </row>
    <row r="3" spans="1:11" ht="32.1" customHeight="1">
      <c r="A3" s="85">
        <v>1</v>
      </c>
      <c r="B3" s="86" t="s">
        <v>239</v>
      </c>
      <c r="C3" s="62" t="s">
        <v>328</v>
      </c>
      <c r="D3" s="62" t="s">
        <v>329</v>
      </c>
      <c r="E3" s="85" t="s">
        <v>330</v>
      </c>
      <c r="F3" s="62" t="s">
        <v>331</v>
      </c>
      <c r="G3" s="62" t="s">
        <v>244</v>
      </c>
      <c r="H3" s="62" t="s">
        <v>332</v>
      </c>
      <c r="I3" s="71" t="s">
        <v>188</v>
      </c>
      <c r="J3" s="72" t="s">
        <v>177</v>
      </c>
      <c r="K3" s="62" t="s">
        <v>333</v>
      </c>
    </row>
    <row r="4" spans="1:11" ht="32.1" customHeight="1">
      <c r="A4" s="87">
        <v>2</v>
      </c>
      <c r="B4" s="88" t="s">
        <v>334</v>
      </c>
      <c r="C4" s="59" t="s">
        <v>335</v>
      </c>
      <c r="D4" s="59" t="s">
        <v>104</v>
      </c>
      <c r="E4" s="87" t="s">
        <v>330</v>
      </c>
      <c r="F4" s="59" t="s">
        <v>336</v>
      </c>
      <c r="G4" s="59" t="s">
        <v>235</v>
      </c>
      <c r="H4" s="59" t="s">
        <v>337</v>
      </c>
      <c r="I4" s="73" t="s">
        <v>188</v>
      </c>
      <c r="J4" s="74" t="s">
        <v>177</v>
      </c>
      <c r="K4" s="59" t="s">
        <v>338</v>
      </c>
    </row>
    <row r="5" spans="1:11" ht="32.1" customHeight="1">
      <c r="A5" s="85">
        <v>3</v>
      </c>
      <c r="B5" s="86" t="s">
        <v>339</v>
      </c>
      <c r="C5" s="62" t="s">
        <v>340</v>
      </c>
      <c r="D5" s="62" t="s">
        <v>83</v>
      </c>
      <c r="E5" s="85" t="s">
        <v>341</v>
      </c>
      <c r="F5" s="62" t="s">
        <v>342</v>
      </c>
      <c r="G5" s="62" t="s">
        <v>250</v>
      </c>
      <c r="H5" s="62" t="s">
        <v>343</v>
      </c>
      <c r="I5" s="71" t="s">
        <v>188</v>
      </c>
      <c r="J5" s="72" t="s">
        <v>177</v>
      </c>
      <c r="K5" s="62" t="s">
        <v>344</v>
      </c>
    </row>
    <row r="6" spans="1:11" ht="32.1" customHeight="1">
      <c r="A6" s="87">
        <v>4</v>
      </c>
      <c r="B6" s="88" t="s">
        <v>251</v>
      </c>
      <c r="C6" s="59" t="s">
        <v>345</v>
      </c>
      <c r="D6" s="59" t="s">
        <v>104</v>
      </c>
      <c r="E6" s="87" t="s">
        <v>330</v>
      </c>
      <c r="F6" s="59" t="s">
        <v>346</v>
      </c>
      <c r="G6" s="59" t="s">
        <v>255</v>
      </c>
      <c r="H6" s="59" t="s">
        <v>347</v>
      </c>
      <c r="I6" s="73" t="s">
        <v>188</v>
      </c>
      <c r="J6" s="74" t="s">
        <v>182</v>
      </c>
      <c r="K6" s="59" t="s">
        <v>348</v>
      </c>
    </row>
    <row r="7" spans="1:11" ht="32.1" customHeight="1">
      <c r="A7" s="85">
        <v>5</v>
      </c>
      <c r="B7" s="86" t="s">
        <v>349</v>
      </c>
      <c r="C7" s="62" t="s">
        <v>350</v>
      </c>
      <c r="D7" s="62" t="s">
        <v>351</v>
      </c>
      <c r="E7" s="85" t="s">
        <v>352</v>
      </c>
      <c r="F7" s="62" t="s">
        <v>353</v>
      </c>
      <c r="G7" s="62" t="s">
        <v>354</v>
      </c>
      <c r="H7" s="62" t="s">
        <v>355</v>
      </c>
      <c r="I7" s="89" t="s">
        <v>356</v>
      </c>
      <c r="J7" s="72" t="s">
        <v>357</v>
      </c>
      <c r="K7" s="62" t="s">
        <v>358</v>
      </c>
    </row>
    <row r="8" spans="1:11" ht="32.1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32.1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32.1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3" spans="1:11" ht="26.1" customHeight="1">
      <c r="A13" s="99" t="s">
        <v>359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8"/>
    </row>
    <row r="14" spans="1:11" ht="27.95" customHeight="1">
      <c r="A14" s="90" t="s">
        <v>321</v>
      </c>
      <c r="B14" s="90" t="s">
        <v>360</v>
      </c>
      <c r="C14" s="90" t="s">
        <v>361</v>
      </c>
      <c r="D14" s="90" t="s">
        <v>362</v>
      </c>
      <c r="E14" s="90" t="s">
        <v>363</v>
      </c>
      <c r="F14" s="90" t="s">
        <v>364</v>
      </c>
      <c r="G14" s="90" t="s">
        <v>365</v>
      </c>
      <c r="H14" s="90" t="s">
        <v>366</v>
      </c>
      <c r="I14" s="90" t="s">
        <v>367</v>
      </c>
      <c r="J14" s="90" t="s">
        <v>368</v>
      </c>
      <c r="K14" s="90" t="s">
        <v>369</v>
      </c>
    </row>
    <row r="15" spans="1:11" ht="30" customHeight="1">
      <c r="A15" s="62" t="s">
        <v>370</v>
      </c>
      <c r="B15" s="91">
        <v>5</v>
      </c>
      <c r="C15" s="92">
        <v>4</v>
      </c>
      <c r="D15" s="91">
        <v>5</v>
      </c>
      <c r="E15" s="92">
        <v>4</v>
      </c>
      <c r="F15" s="91">
        <v>5</v>
      </c>
      <c r="G15" s="93">
        <f>(B15*0.25+C15*0.2+D15*0.25+E15*0.15+F15*0.15)</f>
        <v>4.6500000000000004</v>
      </c>
      <c r="H15" s="72" t="s">
        <v>371</v>
      </c>
      <c r="I15" s="62" t="s">
        <v>372</v>
      </c>
      <c r="J15" s="62" t="s">
        <v>373</v>
      </c>
      <c r="K15" s="62" t="s">
        <v>374</v>
      </c>
    </row>
    <row r="16" spans="1:11" ht="30" customHeight="1">
      <c r="A16" s="59" t="s">
        <v>375</v>
      </c>
      <c r="B16" s="94">
        <v>5</v>
      </c>
      <c r="C16" s="94">
        <v>5</v>
      </c>
      <c r="D16" s="95">
        <v>4</v>
      </c>
      <c r="E16" s="95">
        <v>4</v>
      </c>
      <c r="F16" s="95">
        <v>4</v>
      </c>
      <c r="G16" s="93">
        <f>(B16*0.25+C16*0.2+D16*0.25+E16*0.15+F16*0.15)</f>
        <v>4.45</v>
      </c>
      <c r="H16" s="74" t="s">
        <v>371</v>
      </c>
      <c r="I16" s="59" t="s">
        <v>376</v>
      </c>
      <c r="J16" s="59" t="s">
        <v>373</v>
      </c>
      <c r="K16" s="59" t="s">
        <v>377</v>
      </c>
    </row>
    <row r="17" spans="1:11" ht="30" customHeight="1">
      <c r="A17" s="62" t="s">
        <v>378</v>
      </c>
      <c r="B17" s="92">
        <v>4</v>
      </c>
      <c r="C17" s="92">
        <v>4</v>
      </c>
      <c r="D17" s="91">
        <v>5</v>
      </c>
      <c r="E17" s="96">
        <v>3</v>
      </c>
      <c r="F17" s="92">
        <v>4</v>
      </c>
      <c r="G17" s="93">
        <f>(B17*0.25+C17*0.2+D17*0.25+E17*0.15+F17*0.15)</f>
        <v>4.0999999999999996</v>
      </c>
      <c r="H17" s="72" t="s">
        <v>379</v>
      </c>
      <c r="I17" s="62" t="s">
        <v>380</v>
      </c>
      <c r="J17" s="62" t="s">
        <v>381</v>
      </c>
      <c r="K17" s="62" t="s">
        <v>382</v>
      </c>
    </row>
    <row r="18" spans="1:11" ht="30" customHeight="1">
      <c r="A18" s="59" t="s">
        <v>251</v>
      </c>
      <c r="B18" s="94">
        <v>5</v>
      </c>
      <c r="C18" s="97">
        <v>3</v>
      </c>
      <c r="D18" s="95">
        <v>4</v>
      </c>
      <c r="E18" s="94">
        <v>5</v>
      </c>
      <c r="F18" s="95">
        <v>4</v>
      </c>
      <c r="G18" s="93">
        <f>(B18*0.25+C18*0.2+D18*0.25+E18*0.15+F18*0.15)</f>
        <v>4.2</v>
      </c>
      <c r="H18" s="74" t="s">
        <v>379</v>
      </c>
      <c r="I18" s="59" t="s">
        <v>383</v>
      </c>
      <c r="J18" s="59" t="s">
        <v>381</v>
      </c>
      <c r="K18" s="59" t="s">
        <v>384</v>
      </c>
    </row>
    <row r="19" spans="1:11" ht="3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 ht="30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</row>
  </sheetData>
  <mergeCells count="2">
    <mergeCell ref="A1:K1"/>
    <mergeCell ref="A13:K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9F5DE00C4664B87F5FFDDF1FD135B" ma:contentTypeVersion="13" ma:contentTypeDescription="Create a new document." ma:contentTypeScope="" ma:versionID="7ddc23a501e951875c51649b9d15410c">
  <xsd:schema xmlns:xsd="http://www.w3.org/2001/XMLSchema" xmlns:xs="http://www.w3.org/2001/XMLSchema" xmlns:p="http://schemas.microsoft.com/office/2006/metadata/properties" xmlns:ns2="4ca70cca-4f68-4165-ae4f-8089d02f1cda" xmlns:ns3="4c34b15c-c02c-4e79-b353-8caca45ac009" targetNamespace="http://schemas.microsoft.com/office/2006/metadata/properties" ma:root="true" ma:fieldsID="dcf957a4f67b7752a00a5a88b0598f3c" ns2:_="" ns3:_="">
    <xsd:import namespace="4ca70cca-4f68-4165-ae4f-8089d02f1cda"/>
    <xsd:import namespace="4c34b15c-c02c-4e79-b353-8caca45a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70cca-4f68-4165-ae4f-8089d02f1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178df0-2f15-4682-bb88-9b2f7e5e1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4b15c-c02c-4e79-b353-8caca45ac0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8e45e3-fa92-479c-a4e0-c10202bfa97e}" ma:internalName="TaxCatchAll" ma:showField="CatchAllData" ma:web="4c34b15c-c02c-4e79-b353-8caca45a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4b15c-c02c-4e79-b353-8caca45ac009" xsi:nil="true"/>
    <lcf76f155ced4ddcb4097134ff3c332f xmlns="4ca70cca-4f68-4165-ae4f-8089d02f1c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53206-19C6-428E-9BC3-6204A44C0D1F}"/>
</file>

<file path=customXml/itemProps2.xml><?xml version="1.0" encoding="utf-8"?>
<ds:datastoreItem xmlns:ds="http://schemas.openxmlformats.org/officeDocument/2006/customXml" ds:itemID="{6A64DAC8-3C9D-4F81-BE45-4FC2BA0B4BE0}"/>
</file>

<file path=customXml/itemProps3.xml><?xml version="1.0" encoding="utf-8"?>
<ds:datastoreItem xmlns:ds="http://schemas.openxmlformats.org/officeDocument/2006/customXml" ds:itemID="{1117A13B-AF2C-44C5-921B-24B4ED1CA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kiran nune</cp:lastModifiedBy>
  <cp:revision/>
  <dcterms:created xsi:type="dcterms:W3CDTF">2026-04-24T03:05:05Z</dcterms:created>
  <dcterms:modified xsi:type="dcterms:W3CDTF">2026-05-21T10:22:59Z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0x01010087E9F5DE00C4664B87F5FFDDF1FD135B</vt:lpwstr>
  </property>
  <property fmtid="{D5CDD505-2E9C-101B-9397-08002B2CF9AE}" pid="3" name="MediaServiceImageTags">
    <vt:lpwstr/>
  </property>
</Properties>
</file>