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xr:revisionPtr revIDLastSave="1" documentId="11_2C745ED013C7C119D647D338B8FE4CB62B987CA6" xr6:coauthVersionLast="47" xr6:coauthVersionMax="47" xr10:uidLastSave="{427E2EAC-B4A0-4F3F-8A19-F19ECA21F0BA}"/>
  <bookViews>
    <workbookView xWindow="0" yWindow="0" windowWidth="0" windowHeight="0" xr2:uid="{00000000-000D-0000-FFFF-FFFF00000000}"/>
  </bookViews>
  <sheets>
    <sheet name="README — File Format Guide" sheetId="1" r:id="rId1"/>
    <sheet name="Survey Questions" sheetId="2" r:id="rId2"/>
    <sheet name="Response Data" sheetId="3" r:id="rId3"/>
    <sheet name="Sample Response (Exampl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55" i="3" l="1"/>
  <c r="AY55" i="3"/>
  <c r="AX55" i="3"/>
  <c r="AW55" i="3"/>
  <c r="AV55" i="3"/>
  <c r="AU55" i="3"/>
  <c r="AT55" i="3"/>
  <c r="AS55" i="3"/>
  <c r="AR55" i="3"/>
  <c r="E59" i="3" s="1"/>
  <c r="AP55" i="3"/>
  <c r="AO55" i="3"/>
  <c r="AN55" i="3"/>
  <c r="AM55" i="3"/>
  <c r="AL55" i="3"/>
  <c r="AK55" i="3"/>
  <c r="AJ55" i="3"/>
  <c r="AI55" i="3"/>
  <c r="AH55" i="3"/>
  <c r="D59" i="3" s="1"/>
  <c r="AG55" i="3"/>
  <c r="AF55" i="3"/>
  <c r="AE55" i="3"/>
  <c r="AD55" i="3"/>
  <c r="AC55" i="3"/>
  <c r="AB55" i="3"/>
  <c r="AA55" i="3"/>
  <c r="Z55" i="3"/>
  <c r="Y55" i="3"/>
  <c r="X55" i="3"/>
  <c r="C59" i="3" s="1"/>
  <c r="V55" i="3"/>
  <c r="U55" i="3"/>
  <c r="T55" i="3"/>
  <c r="S55" i="3"/>
  <c r="R55" i="3"/>
  <c r="Q55" i="3"/>
  <c r="P55" i="3"/>
  <c r="O55" i="3"/>
  <c r="N55" i="3"/>
  <c r="B59" i="3" s="1"/>
  <c r="L55" i="3"/>
  <c r="K55" i="3"/>
  <c r="J55" i="3"/>
  <c r="I55" i="3"/>
  <c r="H55" i="3"/>
  <c r="G55" i="3"/>
  <c r="F55" i="3"/>
  <c r="E55" i="3"/>
  <c r="D55" i="3"/>
  <c r="A59" i="3" s="1"/>
</calcChain>
</file>

<file path=xl/sharedStrings.xml><?xml version="1.0" encoding="utf-8"?>
<sst xmlns="http://schemas.openxmlformats.org/spreadsheetml/2006/main" count="717" uniqueCount="211">
  <si>
    <t>SPACE Survey Instrument — File Format Guide</t>
  </si>
  <si>
    <t>PURPOSE</t>
  </si>
  <si>
    <t>This workbook is both the survey instrument AND the data collection format.
• Survey Questions sheet: shows all 50 questions for reference
• Response Data sheet: collect one row per respondent here
• The HTML version allows developers to take the survey online and export responses in CSV/Excel/JSON format that matches this workbook exactly</t>
  </si>
  <si>
    <t>HOW TO USE</t>
  </si>
  <si>
    <t>Option A — Paper / in-person: Print the Survey Questions sheet. Facilitator enters responses manually in the Response Data sheet.
Option B — HTML survey: Share the HTML file. Developers complete it and export to Excel/JSON. Drop that file into the Phase 2 auto-clustering system.
Option C — Integrate with survey tool (Typeform, Google Forms): Map question numbers Q1–Q50 to column headers. Export matches this format.</t>
  </si>
  <si>
    <t>COLUMN FORMAT (Response Data)</t>
  </si>
  <si>
    <t>team  — respondent squad/team name (text)
role  — role level (text)
name  — optional identifier, anonymised in analysis
Q1–Q9, Q11–Q19, Q21–Q30, Q31–Q39, Q41–Q49 — Likert score 1–5 (integer)
Q10, Q20, Q40, Q50 — open text response (free text string)</t>
  </si>
  <si>
    <t>REVERSE-SCORED QUESTIONS</t>
  </si>
  <si>
    <t>Q3, Q8, Q12, Q17, Q19, Q22, Q23, Q25, Q26, Q27, Q30, Q32, Q37, Q41, Q42, Q45, Q48, Q49
For reverse-scored questions, a score of 1 means the WORST outcome (e.g. very frequent context switching).
The analysis system auto-applies: reversed = 6 − raw score
Do NOT pre-reverse scores when entering data — enter raw 1–5 from developer.</t>
  </si>
  <si>
    <t>SCORE BANDS</t>
  </si>
  <si>
    <t>1.0–2.0 = Critical (act immediately)
2.1–2.9 = Significant friction (investigate within 2 weeks)
3.0–3.4 = Moderate (monitor trend)
3.5–4.2 = Healthy (cross-validate with DORA)
4.3–5.0 = Excellent (benchmark and document)</t>
  </si>
  <si>
    <t>DIMENSION MAPPING</t>
  </si>
  <si>
    <t>S (Satisfaction) = Q1–Q10
P (Performance)   = Q11–Q20
A (Activity)      = Q21–Q30
C (Communication) = Q31–Q40
E (Efficiency)    = Q41–Q50</t>
  </si>
  <si>
    <t>OPEN TEXT QUESTIONS</t>
  </si>
  <si>
    <t>Q10 — What one thing most negatively impacts your day-to-day satisfaction?
Q20 — Describe a recent time when an external blocker prevented quality work.
Q40 — Describe the biggest communication breakdown that blocked your productivity.
Q50 — If you could fix one tooling/process inefficiency tomorrow, what would it be?</t>
  </si>
  <si>
    <t>IMPORT INTO PHASE 2</t>
  </si>
  <si>
    <t>The Response Data sheet (or an export from the HTML survey) can be directly imported
into the SPACE Enterprise Template website. Click 'Bulk Import' in the Setup page.
The system reads Q1–Q50 columns, applies reverse scoring, and auto-clusters Q10/Q20/Q40/Q50
open text into themes for Phase 2 analysis.</t>
  </si>
  <si>
    <t>SPACE Developer Productivity Survey — 50 Questions Reference</t>
  </si>
  <si>
    <t>File format: Q1–Q9 = S dimension  |  Q11–Q19 = P  |  Q21–Q30 = A  |  Q31–Q39 = C  |  Q41–Q49 = E  |  Q10/Q20/Q40/Q50 = Open Text  |  Reverse-scored questions marked YES</t>
  </si>
  <si>
    <t>Q#</t>
  </si>
  <si>
    <t>Column</t>
  </si>
  <si>
    <t>Dimension</t>
  </si>
  <si>
    <t>Survey Question</t>
  </si>
  <si>
    <t>Blocker Signal</t>
  </si>
  <si>
    <t>Type</t>
  </si>
  <si>
    <t>Reverse?</t>
  </si>
  <si>
    <t>Scale / Format</t>
  </si>
  <si>
    <t xml:space="preserve">  S — Satisfaction  ·  Questions Q1–Q9</t>
  </si>
  <si>
    <t>Q1</t>
  </si>
  <si>
    <t>S — Satisfaction</t>
  </si>
  <si>
    <t>Overall dev experience satisfaction</t>
  </si>
  <si>
    <t>1=Very dissatisfied, 5=Very satisfied</t>
  </si>
  <si>
    <t>Likert 1–5</t>
  </si>
  <si>
    <t>No</t>
  </si>
  <si>
    <t>Integer 1–5</t>
  </si>
  <si>
    <t>Q2</t>
  </si>
  <si>
    <t>Pride in work shipped each sprint</t>
  </si>
  <si>
    <t>1=Not at all proud, 5=Very proud</t>
  </si>
  <si>
    <t>Q3</t>
  </si>
  <si>
    <t>Frequency of work spilling into personal time due to blockers</t>
  </si>
  <si>
    <t>1=Never (best), 5=Always (worst)</t>
  </si>
  <si>
    <t>YES</t>
  </si>
  <si>
    <t>6 − raw score</t>
  </si>
  <si>
    <t>Q4</t>
  </si>
  <si>
    <t>Organisation support for professional growth</t>
  </si>
  <si>
    <t>1=Very poor, 5=Excellent</t>
  </si>
  <si>
    <t>Q5</t>
  </si>
  <si>
    <t>Satisfaction with local development environment quality</t>
  </si>
  <si>
    <t>Q6</t>
  </si>
  <si>
    <t>Frequency of feeling accomplished at end of working day</t>
  </si>
  <si>
    <t>1=Rarely, 5=Every day</t>
  </si>
  <si>
    <t>Q7</t>
  </si>
  <si>
    <t>Psychological safety raising technical concerns — PSYCH SAFETY GATE</t>
  </si>
  <si>
    <t>1=Very unsafe, 5=Very safe — NOTE: if &lt;2.5 all other scores may be understated</t>
  </si>
  <si>
    <t>Q8</t>
  </si>
  <si>
    <t>Frequency of repetitive low-value tasks dominating workday</t>
  </si>
  <si>
    <t>1=Never (best), 5=Constantly (worst)</t>
  </si>
  <si>
    <t>Q9</t>
  </si>
  <si>
    <t>Likelihood to recommend org as great place to work as developer (NPS)</t>
  </si>
  <si>
    <t>1=Definitely not, 5=Definitely yes</t>
  </si>
  <si>
    <t>Q10</t>
  </si>
  <si>
    <t>In your own words: what one thing most negatively impacts your day-to-day satisfaction?</t>
  </si>
  <si>
    <t>Free text — verbatim, do not edit</t>
  </si>
  <si>
    <t>Open Text</t>
  </si>
  <si>
    <t>N/A</t>
  </si>
  <si>
    <t>Free text</t>
  </si>
  <si>
    <t xml:space="preserve">  P — Performance  ·  Questions Q11–Q19</t>
  </si>
  <si>
    <t>Q11</t>
  </si>
  <si>
    <t>P — Performance</t>
  </si>
  <si>
    <t>Frequency of code passing review without significant rework</t>
  </si>
  <si>
    <t>1=Rarely, 5=Almost always</t>
  </si>
  <si>
    <t>Q12</t>
  </si>
  <si>
    <t>Production reliability — frequency of being paged for own issues</t>
  </si>
  <si>
    <t>1=Very frequently (worst), 5=Never (best)</t>
  </si>
  <si>
    <t>Q13</t>
  </si>
  <si>
    <t>Output reflecting true capability vs. constrained by external blockers</t>
  </si>
  <si>
    <t>1=Very constrained, 5=Full capability</t>
  </si>
  <si>
    <t>Q14</t>
  </si>
  <si>
    <t>Understanding business/user impact of features being built</t>
  </si>
  <si>
    <t>1=Not at all, 5=Very well</t>
  </si>
  <si>
    <t>Q15</t>
  </si>
  <si>
    <t>Frequency of features reaching users without post-release hotfixes</t>
  </si>
  <si>
    <t>Q16</t>
  </si>
  <si>
    <t>Confidence in correctness of code before submitting PR</t>
  </si>
  <si>
    <t>1=Not confident, 5=Very confident</t>
  </si>
  <si>
    <t>Q17</t>
  </si>
  <si>
    <t>Frequency of technical debt reducing current output quality</t>
  </si>
  <si>
    <t>1=Never (best), 5=All the time (worst)</t>
  </si>
  <si>
    <t>Q18</t>
  </si>
  <si>
    <t>Speed of understanding unfamiliar codebase to make a safe change — HIGH AI SIGNAL</t>
  </si>
  <si>
    <t>1=Very slowly (hours/days), 5=Very quickly (minutes)</t>
  </si>
  <si>
    <t>Q19</t>
  </si>
  <si>
    <t>Frequency of revisiting completed work due to unclear requirements</t>
  </si>
  <si>
    <t>1=Very rarely (best), 5=Constantly (worst)</t>
  </si>
  <si>
    <t>Q20</t>
  </si>
  <si>
    <t>Describe a recent time when an external blocker prevented you from delivering quality work.</t>
  </si>
  <si>
    <t>Free text — ask for a specific recent example</t>
  </si>
  <si>
    <t xml:space="preserve">  A — Activity  ·  Questions Q21–Q29</t>
  </si>
  <si>
    <t>Q21</t>
  </si>
  <si>
    <t>A — Activity</t>
  </si>
  <si>
    <t>% of working day feeling genuinely productive (not waiting, interrupted, or in meetings)</t>
  </si>
  <si>
    <t>1=&lt;20%, 5=&gt;80%</t>
  </si>
  <si>
    <t>Q22</t>
  </si>
  <si>
    <t>Number of significant context switches per day</t>
  </si>
  <si>
    <t>1=10+ per day (worst), 5=0–2 per day (best)</t>
  </si>
  <si>
    <t>Q23</t>
  </si>
  <si>
    <t>Hours per sprint lost to unplanned interruptions (Slack, ad-hoc requests, unexpected meetings)</t>
  </si>
  <si>
    <t>1=&gt;10 hrs (worst), 5=&lt;2 hrs (best)</t>
  </si>
  <si>
    <t>Q24</t>
  </si>
  <si>
    <t>Amount of sprint time on tasks aligned with team's top priority</t>
  </si>
  <si>
    <t>1=Very little, 5=Most of it</t>
  </si>
  <si>
    <t>Q25</t>
  </si>
  <si>
    <t>Frequency of working on 3+ tasks simultaneously in a single sprint</t>
  </si>
  <si>
    <t>1=Every sprint (worst), 5=Never (best)</t>
  </si>
  <si>
    <t>Q26</t>
  </si>
  <si>
    <t>Hours per week on manual repetitive tasks that could be automated</t>
  </si>
  <si>
    <t>1=&gt;5 hours (worst), 5=&lt;30 min (best)</t>
  </si>
  <si>
    <t>Q27</t>
  </si>
  <si>
    <t>Frequency of attending meetings that add no value</t>
  </si>
  <si>
    <t>1=Daily (worst), 5=Never (best)</t>
  </si>
  <si>
    <t>Q28</t>
  </si>
  <si>
    <t>Frequency of getting 2+ hours of uninterrupted deep focused coding work</t>
  </si>
  <si>
    <t>Q29</t>
  </si>
  <si>
    <t>Time spent on debugging vs. writing new code in a typical sprint</t>
  </si>
  <si>
    <t>1=Mostly debugging, 5=Mostly coding</t>
  </si>
  <si>
    <t>Q30</t>
  </si>
  <si>
    <t>Hours per sprint lost to all types of waiting (reviews, builds, environments, approvals) — HIGH SIGNAL</t>
  </si>
  <si>
    <t>1=&gt;8 hours (worst), 5=&lt;1 hour (best)</t>
  </si>
  <si>
    <t xml:space="preserve">  C — Communication  ·  Questions Q31–Q39</t>
  </si>
  <si>
    <t>Q31</t>
  </si>
  <si>
    <t>C — Communication</t>
  </si>
  <si>
    <t>Time to get unblocked when waiting for information or a decision</t>
  </si>
  <si>
    <t>1=Days (worst), 5=Minutes (best)</t>
  </si>
  <si>
    <t>Q32</t>
  </si>
  <si>
    <t>Frequency of unclear requirements/AC causing rework after coding starts</t>
  </si>
  <si>
    <t>1=Every sprint (worst), 5=Rarely (best)</t>
  </si>
  <si>
    <t>Q33</t>
  </si>
  <si>
    <t>How collaborative and constructive code reviews feel on the team</t>
  </si>
  <si>
    <t>1=Adversarial, 5=Very collaborative</t>
  </si>
  <si>
    <t>Q34</t>
  </si>
  <si>
    <t>How well dependent teams communicate changes affecting your work</t>
  </si>
  <si>
    <t>1=Very poorly, 5=Very well</t>
  </si>
  <si>
    <t>Q35</t>
  </si>
  <si>
    <t>Ease of finding the right person to answer a technical question about unfamiliar services</t>
  </si>
  <si>
    <t>1=Very difficult, 5=Very easy</t>
  </si>
  <si>
    <t>Q36</t>
  </si>
  <si>
    <t>Fairness and timeliness of feedback from manager or tech lead</t>
  </si>
  <si>
    <t>1=Rarely and unfair, 5=Regular and fair</t>
  </si>
  <si>
    <t>Q37</t>
  </si>
  <si>
    <t>Frequency of API/contract changes from other teams surprising you at integration time</t>
  </si>
  <si>
    <t>1=Every sprint (worst), 5=Very rarely (best)</t>
  </si>
  <si>
    <t>Q38</t>
  </si>
  <si>
    <t>Effectiveness of sprint planning sessions at giving clarity for the week ahead</t>
  </si>
  <si>
    <t>1=Not effective, 5=Very effective</t>
  </si>
  <si>
    <t>Q39</t>
  </si>
  <si>
    <t>Fairness of on-call rotation burden distribution across the team</t>
  </si>
  <si>
    <t>1=Very unfairly, 5=Very fairly</t>
  </si>
  <si>
    <t>Q40</t>
  </si>
  <si>
    <t>Describe the biggest communication or collaboration breakdown that blocked your productivity recently.</t>
  </si>
  <si>
    <t>Free text — focus on cross-team breakdowns and information flow</t>
  </si>
  <si>
    <t xml:space="preserve">  E — Efficiency  ·  Questions Q41–Q49</t>
  </si>
  <si>
    <t>Q41</t>
  </si>
  <si>
    <t>E — Efficiency</t>
  </si>
  <si>
    <t>Frequency of being blocked waiting for a build/test pipeline to complete — HIGH SIGNAL</t>
  </si>
  <si>
    <t>1=Multiple times daily (worst), 5=Never (best)</t>
  </si>
  <si>
    <t>Q42</t>
  </si>
  <si>
    <t>Hours per week wasted on flaky tests failing for unrelated reasons</t>
  </si>
  <si>
    <t>1=&gt;3 hours (worst), 5=&lt;15 min (best)</t>
  </si>
  <si>
    <t>Q43</t>
  </si>
  <si>
    <t>Clarity of CI/CD failure messages in explaining what went wrong and how to fix it</t>
  </si>
  <si>
    <t>1=Completely cryptic, 5=Always clear</t>
  </si>
  <si>
    <t>Q44</t>
  </si>
  <si>
    <t>Speed of provisioning a fresh development or test environment when needed</t>
  </si>
  <si>
    <t>1=Hours or days, 5=Under 5 minutes</t>
  </si>
  <si>
    <t>Q45</t>
  </si>
  <si>
    <t>Time spent per incident on RCA before beginning remediation — HIGH SIGNAL</t>
  </si>
  <si>
    <t>1=Hours (worst), 5=Minutes (best)</t>
  </si>
  <si>
    <t>Q46</t>
  </si>
  <si>
    <t>How well the toolchain supports staying in flow (vs. interrupting concentration)</t>
  </si>
  <si>
    <t>1=Constantly broken, 5=Seamlessly integrated</t>
  </si>
  <si>
    <t>Q47</t>
  </si>
  <si>
    <t>Confidence in understanding blast radius of code changes before merging</t>
  </si>
  <si>
    <t>1=Not at all, 5=Very confident</t>
  </si>
  <si>
    <t>Q48</t>
  </si>
  <si>
    <t>Time per week searching for documentation, wikis, or past decisions before finding answer</t>
  </si>
  <si>
    <t>1=Hours per week (worst), 5=Minutes per week (best)</t>
  </si>
  <si>
    <t>Q49</t>
  </si>
  <si>
    <t>Frequency of local environment config drift/instability blocking you from running the project</t>
  </si>
  <si>
    <t>1=Frequently (worst), 5=Never (best)</t>
  </si>
  <si>
    <t>Q50</t>
  </si>
  <si>
    <t>If you could fix one tooling or process inefficiency tomorrow, what would it be?</t>
  </si>
  <si>
    <t>Free text — exact developer language, do not paraphrase</t>
  </si>
  <si>
    <t>SPACE Survey — Response Data  ·  One row per respondent  ·  Yellow columns = Likert 1–5  ·  Blue columns = Open text</t>
  </si>
  <si>
    <t>Respondent Info</t>
  </si>
  <si>
    <t>team</t>
  </si>
  <si>
    <t>role</t>
  </si>
  <si>
    <t>name</t>
  </si>
  <si>
    <t>Text</t>
  </si>
  <si>
    <t>1–5 (1=worst, 5=best)</t>
  </si>
  <si>
    <t>1–5 (REVERSE: 1=worst)</t>
  </si>
  <si>
    <t>Free text response</t>
  </si>
  <si>
    <t>DIMENSION AVERAGES (auto)</t>
  </si>
  <si>
    <t>DIMENSION SCORE SUMMARY (calculated from averages row above)</t>
  </si>
  <si>
    <t>Precision Ag Platform</t>
  </si>
  <si>
    <t>Senior Developer</t>
  </si>
  <si>
    <t>(anonymous)</t>
  </si>
  <si>
    <t>The build pipeline is my biggest frustration. I spend 40 minutes waiting after every commit and half the failures are flaky tests that have nothing to do with my change.</t>
  </si>
  <si>
    <t>Last Tuesday a service I needed to change had no documentation at all. I spent 3.5 hours just reading the codebase before I could safely make a 10-line change.</t>
  </si>
  <si>
    <t>Our API contract changed unexpectedly last sprint. Another team pushed a breaking change to the payments service without telling us and we found out at integration on Friday afternoon.</t>
  </si>
  <si>
    <t>I would fix the CI pipeline. Either make it faster (predictive test selection) or at least make the error messages explain what actually failed and why.</t>
  </si>
  <si>
    <t>NOTE: Raw scores shown as entered. Reverse-scored questions (Q3,8,12,17,19,22,23,25,26,27,30,32,37,41,42,45,48,49) are NOT pre-reversed here. The analysis system applies 6−raw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</si>
</sst>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b/>
      <sz val="16"/>
      <color rgb="FFFFFFFF"/>
      <name val="Calibri"/>
    </font>
    <font>
      <b/>
      <sz val="10"/>
      <color rgb="FFFFFFFF"/>
      <name val="Calibri"/>
    </font>
    <font>
      <sz val="10"/>
      <color rgb="FF1C1917"/>
      <name val="Calibri"/>
    </font>
    <font>
      <b/>
      <sz val="14"/>
      <color rgb="FFFFFFFF"/>
      <name val="Calibri"/>
    </font>
    <font>
      <i/>
      <sz val="10"/>
      <color rgb="FFC8972B"/>
      <name val="Calibri"/>
    </font>
    <font>
      <b/>
      <sz val="11"/>
      <color rgb="FFFFFFFF"/>
      <name val="Calibri"/>
    </font>
    <font>
      <b/>
      <sz val="11"/>
      <color rgb="FF065F46"/>
      <name val="Calibri"/>
    </font>
    <font>
      <b/>
      <sz val="10"/>
      <color rgb="FF065F46"/>
      <name val="Calibri"/>
    </font>
    <font>
      <i/>
      <sz val="9"/>
      <color rgb="FF9A9080"/>
      <name val="Calibri"/>
    </font>
    <font>
      <sz val="9"/>
      <color rgb="FF1C1917"/>
      <name val="Calibri"/>
    </font>
    <font>
      <sz val="9"/>
      <color rgb="FF9A9080"/>
      <name val="Calibri"/>
    </font>
    <font>
      <b/>
      <sz val="9"/>
      <color rgb="FF991B1B"/>
      <name val="Calibri"/>
    </font>
    <font>
      <i/>
      <sz val="9"/>
      <color rgb="FF991B1B"/>
      <name val="Calibri"/>
    </font>
    <font>
      <b/>
      <sz val="9"/>
      <color rgb="FF065F46"/>
      <name val="Calibri"/>
    </font>
    <font>
      <b/>
      <sz val="11"/>
      <color rgb="FF3730A3"/>
      <name val="Calibri"/>
    </font>
    <font>
      <b/>
      <sz val="10"/>
      <color rgb="FF3730A3"/>
      <name val="Calibri"/>
    </font>
    <font>
      <b/>
      <sz val="9"/>
      <color rgb="FF3730A3"/>
      <name val="Calibri"/>
    </font>
    <font>
      <b/>
      <sz val="11"/>
      <color rgb="FF78350F"/>
      <name val="Calibri"/>
    </font>
    <font>
      <b/>
      <sz val="10"/>
      <color rgb="FF78350F"/>
      <name val="Calibri"/>
    </font>
    <font>
      <b/>
      <sz val="11"/>
      <color rgb="FF991B1B"/>
      <name val="Calibri"/>
    </font>
    <font>
      <b/>
      <sz val="10"/>
      <color rgb="FF991B1B"/>
      <name val="Calibri"/>
    </font>
    <font>
      <b/>
      <sz val="11"/>
      <color rgb="FF1D4ED8"/>
      <name val="Calibri"/>
    </font>
    <font>
      <b/>
      <sz val="10"/>
      <color rgb="FF1D4ED8"/>
      <name val="Calibri"/>
    </font>
    <font>
      <b/>
      <sz val="9"/>
      <color rgb="FF1D4ED8"/>
      <name val="Calibri"/>
    </font>
    <font>
      <b/>
      <sz val="12"/>
      <color rgb="FFFFFFFF"/>
      <name val="Calibri"/>
    </font>
    <font>
      <b/>
      <sz val="8"/>
      <color rgb="FFFFFFFF"/>
      <name val="Calibri"/>
    </font>
    <font>
      <i/>
      <sz val="8"/>
      <color rgb="FF9A9080"/>
      <name val="Calibri"/>
    </font>
    <font>
      <sz val="11"/>
      <name val="Calibri"/>
    </font>
    <font>
      <b/>
      <sz val="11"/>
      <color rgb="FF1C1917"/>
      <name val="Calibri"/>
    </font>
    <font>
      <sz val="10"/>
      <name val="Calibri"/>
    </font>
    <font>
      <b/>
      <sz val="11"/>
      <color rgb="FFC8972B"/>
      <name val="Calibri"/>
    </font>
    <font>
      <b/>
      <sz val="14"/>
      <color rgb="FF065F46"/>
      <name val="Calibri"/>
    </font>
    <font>
      <b/>
      <sz val="14"/>
      <color rgb="FF3730A3"/>
      <name val="Calibri"/>
    </font>
    <font>
      <b/>
      <sz val="14"/>
      <color rgb="FF78350F"/>
      <name val="Calibri"/>
    </font>
    <font>
      <b/>
      <sz val="14"/>
      <color rgb="FF991B1B"/>
      <name val="Calibri"/>
    </font>
    <font>
      <b/>
      <sz val="14"/>
      <color rgb="FF1D4ED8"/>
      <name val="Calibri"/>
    </font>
    <font>
      <sz val="11"/>
      <color rgb="FF1C1917"/>
      <name val="Calibri"/>
    </font>
    <font>
      <sz val="10"/>
      <color rgb="FF1D4ED8"/>
      <name val="Calibri"/>
    </font>
  </fonts>
  <fills count="20">
    <fill>
      <patternFill patternType="none"/>
    </fill>
    <fill>
      <patternFill patternType="gray125"/>
    </fill>
    <fill>
      <patternFill patternType="solid">
        <fgColor rgb="FF0D1B2A"/>
      </patternFill>
    </fill>
    <fill>
      <patternFill patternType="solid">
        <fgColor rgb="FF1A3050"/>
      </patternFill>
    </fill>
    <fill>
      <patternFill patternType="solid">
        <fgColor rgb="FFF7F3ED"/>
      </patternFill>
    </fill>
    <fill>
      <patternFill patternType="solid">
        <fgColor rgb="FFFFFFFF"/>
      </patternFill>
    </fill>
    <fill>
      <patternFill patternType="solid">
        <fgColor rgb="FF0F766E"/>
      </patternFill>
    </fill>
    <fill>
      <patternFill patternType="solid">
        <fgColor rgb="FFD6EFEE"/>
      </patternFill>
    </fill>
    <fill>
      <patternFill patternType="solid">
        <fgColor rgb="FF4F46E5"/>
      </patternFill>
    </fill>
    <fill>
      <patternFill patternType="solid">
        <fgColor rgb="FFEDE9FE"/>
      </patternFill>
    </fill>
    <fill>
      <patternFill patternType="solid">
        <fgColor rgb="FFD97706"/>
      </patternFill>
    </fill>
    <fill>
      <patternFill patternType="solid">
        <fgColor rgb="FFFEF3C7"/>
      </patternFill>
    </fill>
    <fill>
      <patternFill patternType="solid">
        <fgColor rgb="FFDC2626"/>
      </patternFill>
    </fill>
    <fill>
      <patternFill patternType="solid">
        <fgColor rgb="FFFEE2E2"/>
      </patternFill>
    </fill>
    <fill>
      <patternFill patternType="solid">
        <fgColor rgb="FF2563EB"/>
      </patternFill>
    </fill>
    <fill>
      <patternFill patternType="solid">
        <fgColor rgb="FFDBEAFE"/>
      </patternFill>
    </fill>
    <fill>
      <patternFill patternType="solid">
        <fgColor rgb="FF1D4ED8"/>
      </patternFill>
    </fill>
    <fill>
      <patternFill patternType="solid">
        <fgColor rgb="FFF1EDE8"/>
      </patternFill>
    </fill>
    <fill>
      <patternFill patternType="solid">
        <fgColor rgb="FFFFFDE7"/>
      </patternFill>
    </fill>
    <fill>
      <patternFill patternType="solid">
        <fgColor rgb="FFEFF6FF"/>
      </patternFill>
    </fill>
  </fills>
  <borders count="2">
    <border>
      <left/>
      <right/>
      <top/>
      <bottom/>
      <diagonal/>
    </border>
    <border>
      <left style="thin">
        <color rgb="FFD1CDC5"/>
      </left>
      <right style="thin">
        <color rgb="FFD1CDC5"/>
      </right>
      <top style="thin">
        <color rgb="FFD1CDC5"/>
      </top>
      <bottom style="thin">
        <color rgb="FFD1CDC5"/>
      </bottom>
      <diagonal/>
    </border>
  </borders>
  <cellStyleXfs count="1">
    <xf numFmtId="0" fontId="0" fillId="0" borderId="0"/>
  </cellStyleXfs>
  <cellXfs count="100">
    <xf numFmtId="0" fontId="0" fillId="0" borderId="0" xfId="0"/>
    <xf numFmtId="0" fontId="2" fillId="3" borderId="1" xfId="0" applyFont="1" applyFill="1" applyBorder="1" applyAlignment="1">
      <alignment horizontal="left" vertical="top" wrapText="1" indent="1"/>
    </xf>
    <xf numFmtId="0" fontId="3" fillId="4" borderId="1" xfId="0" applyFont="1" applyFill="1" applyBorder="1" applyAlignment="1">
      <alignment horizontal="left" vertical="top" wrapText="1" indent="1"/>
    </xf>
    <xf numFmtId="0" fontId="3" fillId="5" borderId="1" xfId="0" applyFont="1" applyFill="1" applyBorder="1" applyAlignment="1">
      <alignment horizontal="left" vertical="top" wrapText="1" indent="1"/>
    </xf>
    <xf numFmtId="0" fontId="2" fillId="2" borderId="1" xfId="0" applyFont="1" applyFill="1" applyBorder="1" applyAlignment="1">
      <alignment horizontal="center" vertical="center"/>
    </xf>
    <xf numFmtId="0" fontId="7" fillId="5" borderId="1" xfId="0" applyFont="1" applyFill="1" applyBorder="1" applyAlignment="1">
      <alignment horizontal="center" vertical="center"/>
    </xf>
    <xf numFmtId="0" fontId="8" fillId="7" borderId="1" xfId="0" applyFont="1" applyFill="1" applyBorder="1" applyAlignment="1">
      <alignment horizontal="center" vertical="center"/>
    </xf>
    <xf numFmtId="0" fontId="3"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10"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7"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10"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4" fillId="7" borderId="1" xfId="0" applyFont="1" applyFill="1" applyBorder="1" applyAlignment="1">
      <alignment horizontal="center" vertical="center"/>
    </xf>
    <xf numFmtId="0" fontId="15" fillId="9" borderId="1" xfId="0" applyFont="1" applyFill="1" applyBorder="1" applyAlignment="1">
      <alignment horizontal="center" vertical="center"/>
    </xf>
    <xf numFmtId="0" fontId="16" fillId="9" borderId="1" xfId="0" applyFont="1" applyFill="1" applyBorder="1" applyAlignment="1">
      <alignment horizontal="center" vertical="center"/>
    </xf>
    <xf numFmtId="0" fontId="3" fillId="9"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10" fillId="9" borderId="1" xfId="0" applyFont="1" applyFill="1" applyBorder="1" applyAlignment="1">
      <alignment horizontal="center" vertical="center"/>
    </xf>
    <xf numFmtId="0" fontId="11" fillId="9" borderId="1" xfId="0" applyFont="1" applyFill="1" applyBorder="1" applyAlignment="1">
      <alignment horizontal="center" vertical="center"/>
    </xf>
    <xf numFmtId="0" fontId="15" fillId="5" borderId="1" xfId="0" applyFont="1" applyFill="1" applyBorder="1" applyAlignment="1">
      <alignment horizontal="center" vertical="center"/>
    </xf>
    <xf numFmtId="0" fontId="12" fillId="9" borderId="1" xfId="0" applyFont="1" applyFill="1" applyBorder="1" applyAlignment="1">
      <alignment horizontal="center" vertical="center"/>
    </xf>
    <xf numFmtId="0" fontId="13" fillId="9" borderId="1" xfId="0" applyFont="1" applyFill="1" applyBorder="1" applyAlignment="1">
      <alignment horizontal="center" vertical="center"/>
    </xf>
    <xf numFmtId="0" fontId="17" fillId="5" borderId="1" xfId="0" applyFont="1" applyFill="1" applyBorder="1" applyAlignment="1">
      <alignment horizontal="center" vertical="center"/>
    </xf>
    <xf numFmtId="0" fontId="18" fillId="5" borderId="1" xfId="0" applyFont="1" applyFill="1" applyBorder="1" applyAlignment="1">
      <alignment horizontal="center" vertical="center"/>
    </xf>
    <xf numFmtId="0" fontId="19" fillId="11" borderId="1" xfId="0" applyFont="1" applyFill="1" applyBorder="1" applyAlignment="1">
      <alignment horizontal="center" vertical="center"/>
    </xf>
    <xf numFmtId="0" fontId="18" fillId="11" borderId="1" xfId="0" applyFont="1" applyFill="1" applyBorder="1" applyAlignment="1">
      <alignment horizontal="center" vertical="center"/>
    </xf>
    <xf numFmtId="0" fontId="3" fillId="11" borderId="1" xfId="0" applyFont="1" applyFill="1" applyBorder="1" applyAlignment="1">
      <alignment horizontal="left" vertical="top" wrapText="1"/>
    </xf>
    <xf numFmtId="0" fontId="9" fillId="11" borderId="1" xfId="0" applyFont="1" applyFill="1" applyBorder="1" applyAlignment="1">
      <alignment horizontal="left" vertical="top" wrapText="1"/>
    </xf>
    <xf numFmtId="0" fontId="10" fillId="11" borderId="1" xfId="0" applyFont="1" applyFill="1" applyBorder="1" applyAlignment="1">
      <alignment horizontal="center" vertical="center"/>
    </xf>
    <xf numFmtId="0" fontId="12" fillId="11" borderId="1" xfId="0" applyFont="1" applyFill="1" applyBorder="1" applyAlignment="1">
      <alignment horizontal="center" vertical="center"/>
    </xf>
    <xf numFmtId="0" fontId="13" fillId="11" borderId="1" xfId="0" applyFont="1" applyFill="1" applyBorder="1" applyAlignment="1">
      <alignment horizontal="center" vertical="center"/>
    </xf>
    <xf numFmtId="0" fontId="11" fillId="11" borderId="1" xfId="0" applyFont="1" applyFill="1" applyBorder="1" applyAlignment="1">
      <alignment horizontal="center" vertical="center"/>
    </xf>
    <xf numFmtId="0" fontId="20" fillId="13" borderId="1" xfId="0" applyFont="1" applyFill="1" applyBorder="1" applyAlignment="1">
      <alignment horizontal="center" vertical="center"/>
    </xf>
    <xf numFmtId="0" fontId="21" fillId="13" borderId="1" xfId="0" applyFont="1" applyFill="1" applyBorder="1" applyAlignment="1">
      <alignment horizontal="center" vertical="center"/>
    </xf>
    <xf numFmtId="0" fontId="3" fillId="13" borderId="1" xfId="0" applyFont="1" applyFill="1" applyBorder="1" applyAlignment="1">
      <alignment horizontal="left" vertical="top" wrapText="1"/>
    </xf>
    <xf numFmtId="0" fontId="9" fillId="13" borderId="1" xfId="0" applyFont="1" applyFill="1" applyBorder="1" applyAlignment="1">
      <alignment horizontal="left" vertical="top" wrapText="1"/>
    </xf>
    <xf numFmtId="0" fontId="10" fillId="13" borderId="1" xfId="0" applyFont="1" applyFill="1" applyBorder="1" applyAlignment="1">
      <alignment horizontal="center" vertical="center"/>
    </xf>
    <xf numFmtId="0" fontId="11" fillId="13" borderId="1" xfId="0" applyFont="1" applyFill="1" applyBorder="1" applyAlignment="1">
      <alignment horizontal="center" vertical="center"/>
    </xf>
    <xf numFmtId="0" fontId="20" fillId="5" borderId="1" xfId="0" applyFont="1" applyFill="1" applyBorder="1" applyAlignment="1">
      <alignment horizontal="center" vertical="center"/>
    </xf>
    <xf numFmtId="0" fontId="12" fillId="13" borderId="1" xfId="0" applyFont="1" applyFill="1" applyBorder="1" applyAlignment="1">
      <alignment horizontal="center" vertical="center"/>
    </xf>
    <xf numFmtId="0" fontId="13" fillId="13" borderId="1" xfId="0" applyFont="1" applyFill="1" applyBorder="1" applyAlignment="1">
      <alignment horizontal="center" vertical="center"/>
    </xf>
    <xf numFmtId="0" fontId="22" fillId="5" borderId="1" xfId="0" applyFont="1" applyFill="1" applyBorder="1" applyAlignment="1">
      <alignment horizontal="center" vertical="center"/>
    </xf>
    <xf numFmtId="0" fontId="23" fillId="15" borderId="1" xfId="0" applyFont="1" applyFill="1" applyBorder="1" applyAlignment="1">
      <alignment horizontal="center" vertical="center"/>
    </xf>
    <xf numFmtId="0" fontId="22" fillId="15" borderId="1" xfId="0" applyFont="1" applyFill="1" applyBorder="1" applyAlignment="1">
      <alignment horizontal="center" vertical="center"/>
    </xf>
    <xf numFmtId="0" fontId="3" fillId="15" borderId="1" xfId="0" applyFont="1" applyFill="1" applyBorder="1" applyAlignment="1">
      <alignment horizontal="left" vertical="top" wrapText="1"/>
    </xf>
    <xf numFmtId="0" fontId="9" fillId="15" borderId="1" xfId="0" applyFont="1" applyFill="1" applyBorder="1" applyAlignment="1">
      <alignment horizontal="left" vertical="top" wrapText="1"/>
    </xf>
    <xf numFmtId="0" fontId="10" fillId="15" borderId="1" xfId="0" applyFont="1" applyFill="1" applyBorder="1" applyAlignment="1">
      <alignment horizontal="center" vertical="center"/>
    </xf>
    <xf numFmtId="0" fontId="12" fillId="15" borderId="1" xfId="0" applyFont="1" applyFill="1" applyBorder="1" applyAlignment="1">
      <alignment horizontal="center" vertical="center"/>
    </xf>
    <xf numFmtId="0" fontId="13" fillId="15" borderId="1" xfId="0" applyFont="1" applyFill="1" applyBorder="1" applyAlignment="1">
      <alignment horizontal="center" vertical="center"/>
    </xf>
    <xf numFmtId="0" fontId="11" fillId="15" borderId="1" xfId="0" applyFont="1" applyFill="1" applyBorder="1" applyAlignment="1">
      <alignment horizontal="center" vertical="center"/>
    </xf>
    <xf numFmtId="0" fontId="24" fillId="15" borderId="1" xfId="0" applyFont="1" applyFill="1" applyBorder="1" applyAlignment="1">
      <alignment horizontal="center" vertical="center"/>
    </xf>
    <xf numFmtId="0" fontId="25" fillId="2" borderId="1" xfId="0" applyFont="1" applyFill="1" applyBorder="1" applyAlignment="1">
      <alignment horizontal="center" vertical="center"/>
    </xf>
    <xf numFmtId="0" fontId="26" fillId="3" borderId="1" xfId="0" applyFont="1" applyFill="1" applyBorder="1" applyAlignment="1">
      <alignment horizontal="center" vertical="center"/>
    </xf>
    <xf numFmtId="0" fontId="26" fillId="6" borderId="1" xfId="0" applyFont="1" applyFill="1" applyBorder="1" applyAlignment="1">
      <alignment horizontal="center" vertical="center"/>
    </xf>
    <xf numFmtId="0" fontId="26" fillId="8" borderId="1" xfId="0" applyFont="1" applyFill="1" applyBorder="1" applyAlignment="1">
      <alignment horizontal="center" vertical="center"/>
    </xf>
    <xf numFmtId="0" fontId="26" fillId="10" borderId="1" xfId="0" applyFont="1" applyFill="1" applyBorder="1" applyAlignment="1">
      <alignment horizontal="center" vertical="center"/>
    </xf>
    <xf numFmtId="0" fontId="26" fillId="12" borderId="1" xfId="0" applyFont="1" applyFill="1" applyBorder="1" applyAlignment="1">
      <alignment horizontal="center" vertical="center"/>
    </xf>
    <xf numFmtId="0" fontId="26" fillId="1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16" borderId="1" xfId="0" applyFont="1" applyFill="1" applyBorder="1" applyAlignment="1">
      <alignment horizontal="center" vertical="center"/>
    </xf>
    <xf numFmtId="0" fontId="27" fillId="17" borderId="1" xfId="0" applyFont="1" applyFill="1" applyBorder="1" applyAlignment="1">
      <alignment horizontal="center" vertical="center" wrapText="1"/>
    </xf>
    <xf numFmtId="0" fontId="28" fillId="4" borderId="1" xfId="0" applyFont="1" applyFill="1" applyBorder="1" applyAlignment="1">
      <alignment horizontal="center" vertical="top" wrapText="1"/>
    </xf>
    <xf numFmtId="0" fontId="29" fillId="18" borderId="1" xfId="0" applyFont="1" applyFill="1" applyBorder="1" applyAlignment="1">
      <alignment horizontal="center" vertical="top" wrapText="1"/>
    </xf>
    <xf numFmtId="0" fontId="30" fillId="19" borderId="1" xfId="0" applyFont="1" applyFill="1" applyBorder="1" applyAlignment="1">
      <alignment horizontal="left" vertical="top" wrapText="1"/>
    </xf>
    <xf numFmtId="0" fontId="28" fillId="5" borderId="1" xfId="0" applyFont="1" applyFill="1" applyBorder="1" applyAlignment="1">
      <alignment horizontal="center" vertical="top" wrapText="1"/>
    </xf>
    <xf numFmtId="0" fontId="31" fillId="3" borderId="1" xfId="0" applyFont="1" applyFill="1" applyBorder="1" applyAlignment="1">
      <alignment horizontal="center" vertical="center"/>
    </xf>
    <xf numFmtId="0" fontId="0" fillId="3" borderId="1" xfId="0" applyFill="1" applyBorder="1" applyAlignment="1">
      <alignment horizontal="center" vertical="center"/>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2" fillId="7" borderId="1" xfId="0" applyFont="1" applyFill="1" applyBorder="1" applyAlignment="1">
      <alignment horizontal="center" vertical="center"/>
    </xf>
    <xf numFmtId="0" fontId="33" fillId="9" borderId="1" xfId="0" applyFont="1" applyFill="1" applyBorder="1" applyAlignment="1">
      <alignment horizontal="center" vertical="center"/>
    </xf>
    <xf numFmtId="0" fontId="34" fillId="11" borderId="1" xfId="0" applyFont="1" applyFill="1" applyBorder="1" applyAlignment="1">
      <alignment horizontal="center" vertical="center"/>
    </xf>
    <xf numFmtId="0" fontId="35" fillId="13" borderId="1" xfId="0" applyFont="1" applyFill="1" applyBorder="1" applyAlignment="1">
      <alignment horizontal="center" vertical="center"/>
    </xf>
    <xf numFmtId="0" fontId="36" fillId="15" borderId="1" xfId="0" applyFont="1" applyFill="1" applyBorder="1" applyAlignment="1">
      <alignment horizontal="center" vertical="center"/>
    </xf>
    <xf numFmtId="0" fontId="37" fillId="5" borderId="1" xfId="0" applyFont="1" applyFill="1" applyBorder="1" applyAlignment="1">
      <alignment horizontal="center" vertical="top" wrapText="1"/>
    </xf>
    <xf numFmtId="0" fontId="20" fillId="18" borderId="1" xfId="0" applyFont="1" applyFill="1" applyBorder="1" applyAlignment="1">
      <alignment horizontal="center" vertical="top" wrapText="1"/>
    </xf>
    <xf numFmtId="0" fontId="38" fillId="19" borderId="1" xfId="0" applyFont="1" applyFill="1" applyBorder="1" applyAlignment="1">
      <alignment horizontal="left" vertical="top" wrapText="1"/>
    </xf>
    <xf numFmtId="0" fontId="1" fillId="2" borderId="1" xfId="0" applyFont="1" applyFill="1" applyBorder="1" applyAlignment="1">
      <alignment horizontal="center" vertical="center"/>
    </xf>
    <xf numFmtId="0" fontId="6" fillId="6" borderId="1" xfId="0" applyFont="1" applyFill="1" applyBorder="1" applyAlignment="1">
      <alignment horizontal="left" vertical="center" indent="1"/>
    </xf>
    <xf numFmtId="0" fontId="6" fillId="14" borderId="1" xfId="0" applyFont="1" applyFill="1" applyBorder="1" applyAlignment="1">
      <alignment horizontal="left" vertical="center" indent="1"/>
    </xf>
    <xf numFmtId="0" fontId="6" fillId="10" borderId="1" xfId="0" applyFont="1" applyFill="1" applyBorder="1" applyAlignment="1">
      <alignment horizontal="left" vertical="center" indent="1"/>
    </xf>
    <xf numFmtId="0" fontId="6" fillId="8" borderId="1" xfId="0" applyFont="1" applyFill="1" applyBorder="1" applyAlignment="1">
      <alignment horizontal="left" vertical="center" indent="1"/>
    </xf>
    <xf numFmtId="0" fontId="5"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6" fillId="12" borderId="1" xfId="0" applyFont="1" applyFill="1" applyBorder="1" applyAlignment="1">
      <alignment horizontal="left" vertical="center" indent="1"/>
    </xf>
    <xf numFmtId="0" fontId="2" fillId="3" borderId="1" xfId="0" applyFont="1" applyFill="1" applyBorder="1" applyAlignment="1">
      <alignment horizontal="center" vertical="center"/>
    </xf>
    <xf numFmtId="0" fontId="25" fillId="2" borderId="1" xfId="0" applyFont="1" applyFill="1" applyBorder="1" applyAlignment="1">
      <alignment horizontal="center" vertical="center"/>
    </xf>
    <xf numFmtId="0" fontId="13" fillId="13" borderId="1" xfId="0" applyFont="1" applyFill="1" applyBorder="1" applyAlignment="1">
      <alignment horizontal="left"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showGridLines="0" tabSelected="1" workbookViewId="0"/>
  </sheetViews>
  <sheetFormatPr defaultRowHeight="15"/>
  <cols>
    <col min="1" max="1" width="34" customWidth="1"/>
    <col min="2" max="2" width="72" customWidth="1"/>
  </cols>
  <sheetData>
    <row r="1" spans="1:2" ht="39.950000000000003" customHeight="1">
      <c r="A1" s="88" t="s">
        <v>0</v>
      </c>
      <c r="B1" s="99"/>
    </row>
    <row r="2" spans="1:2" ht="69.95" customHeight="1">
      <c r="A2" s="1" t="s">
        <v>1</v>
      </c>
      <c r="B2" s="2" t="s">
        <v>2</v>
      </c>
    </row>
    <row r="3" spans="1:2" ht="69.95" customHeight="1">
      <c r="A3" s="1" t="s">
        <v>3</v>
      </c>
      <c r="B3" s="3" t="s">
        <v>4</v>
      </c>
    </row>
    <row r="4" spans="1:2" ht="69.95" customHeight="1">
      <c r="A4" s="1" t="s">
        <v>5</v>
      </c>
      <c r="B4" s="2" t="s">
        <v>6</v>
      </c>
    </row>
    <row r="5" spans="1:2" ht="69.95" customHeight="1">
      <c r="A5" s="1" t="s">
        <v>7</v>
      </c>
      <c r="B5" s="3" t="s">
        <v>8</v>
      </c>
    </row>
    <row r="6" spans="1:2" ht="69.95" customHeight="1">
      <c r="A6" s="1" t="s">
        <v>9</v>
      </c>
      <c r="B6" s="2" t="s">
        <v>10</v>
      </c>
    </row>
    <row r="7" spans="1:2" ht="69.95" customHeight="1">
      <c r="A7" s="1" t="s">
        <v>11</v>
      </c>
      <c r="B7" s="3" t="s">
        <v>12</v>
      </c>
    </row>
    <row r="8" spans="1:2" ht="69.95" customHeight="1">
      <c r="A8" s="1" t="s">
        <v>13</v>
      </c>
      <c r="B8" s="2" t="s">
        <v>14</v>
      </c>
    </row>
    <row r="9" spans="1:2" ht="69.95" customHeight="1">
      <c r="A9" s="1" t="s">
        <v>15</v>
      </c>
      <c r="B9" s="3" t="s">
        <v>16</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showGridLines="0" workbookViewId="0">
      <pane ySplit="3" topLeftCell="A4" activePane="bottomLeft" state="frozen"/>
      <selection pane="bottomLeft"/>
    </sheetView>
  </sheetViews>
  <sheetFormatPr defaultRowHeight="15"/>
  <cols>
    <col min="1" max="1" width="6" customWidth="1"/>
    <col min="2" max="2" width="8" customWidth="1"/>
    <col min="3" max="3" width="14" customWidth="1"/>
    <col min="4" max="4" width="62" customWidth="1"/>
    <col min="5" max="5" width="32" customWidth="1"/>
    <col min="6" max="6" width="10" customWidth="1"/>
    <col min="7" max="7" width="12" customWidth="1"/>
    <col min="8" max="8" width="18" customWidth="1"/>
  </cols>
  <sheetData>
    <row r="1" spans="1:8" ht="32.1" customHeight="1">
      <c r="A1" s="94" t="s">
        <v>17</v>
      </c>
      <c r="B1" s="99"/>
      <c r="C1" s="99"/>
      <c r="D1" s="99"/>
      <c r="E1" s="99"/>
      <c r="F1" s="99"/>
      <c r="G1" s="99"/>
      <c r="H1" s="99"/>
    </row>
    <row r="2" spans="1:8" ht="20.100000000000001" customHeight="1">
      <c r="A2" s="93" t="s">
        <v>18</v>
      </c>
      <c r="B2" s="99"/>
      <c r="C2" s="99"/>
      <c r="D2" s="99"/>
      <c r="E2" s="99"/>
      <c r="F2" s="99"/>
      <c r="G2" s="99"/>
      <c r="H2" s="99"/>
    </row>
    <row r="3" spans="1:8" ht="21.95" customHeight="1">
      <c r="A3" s="4" t="s">
        <v>19</v>
      </c>
      <c r="B3" s="4" t="s">
        <v>20</v>
      </c>
      <c r="C3" s="4" t="s">
        <v>21</v>
      </c>
      <c r="D3" s="4" t="s">
        <v>22</v>
      </c>
      <c r="E3" s="4" t="s">
        <v>23</v>
      </c>
      <c r="F3" s="4" t="s">
        <v>24</v>
      </c>
      <c r="G3" s="4" t="s">
        <v>25</v>
      </c>
      <c r="H3" s="4" t="s">
        <v>26</v>
      </c>
    </row>
    <row r="4" spans="1:8" ht="21.95" customHeight="1">
      <c r="A4" s="89" t="s">
        <v>27</v>
      </c>
      <c r="B4" s="99"/>
      <c r="C4" s="99"/>
      <c r="D4" s="99"/>
      <c r="E4" s="99"/>
      <c r="F4" s="99"/>
      <c r="G4" s="99"/>
      <c r="H4" s="99"/>
    </row>
    <row r="5" spans="1:8" ht="27.95" customHeight="1">
      <c r="A5" s="5">
        <v>1</v>
      </c>
      <c r="B5" s="6" t="s">
        <v>28</v>
      </c>
      <c r="C5" s="6" t="s">
        <v>29</v>
      </c>
      <c r="D5" s="7" t="s">
        <v>30</v>
      </c>
      <c r="E5" s="8" t="s">
        <v>31</v>
      </c>
      <c r="F5" s="9" t="s">
        <v>32</v>
      </c>
      <c r="G5" s="10" t="s">
        <v>33</v>
      </c>
      <c r="H5" s="10" t="s">
        <v>34</v>
      </c>
    </row>
    <row r="6" spans="1:8" ht="27.95" customHeight="1">
      <c r="A6" s="11">
        <v>2</v>
      </c>
      <c r="B6" s="6" t="s">
        <v>35</v>
      </c>
      <c r="C6" s="6" t="s">
        <v>29</v>
      </c>
      <c r="D6" s="12" t="s">
        <v>36</v>
      </c>
      <c r="E6" s="13" t="s">
        <v>37</v>
      </c>
      <c r="F6" s="14" t="s">
        <v>32</v>
      </c>
      <c r="G6" s="15" t="s">
        <v>33</v>
      </c>
      <c r="H6" s="15" t="s">
        <v>34</v>
      </c>
    </row>
    <row r="7" spans="1:8" ht="27.95" customHeight="1">
      <c r="A7" s="5">
        <v>3</v>
      </c>
      <c r="B7" s="6" t="s">
        <v>38</v>
      </c>
      <c r="C7" s="6" t="s">
        <v>29</v>
      </c>
      <c r="D7" s="7" t="s">
        <v>39</v>
      </c>
      <c r="E7" s="8" t="s">
        <v>40</v>
      </c>
      <c r="F7" s="9" t="s">
        <v>32</v>
      </c>
      <c r="G7" s="16" t="s">
        <v>41</v>
      </c>
      <c r="H7" s="17" t="s">
        <v>42</v>
      </c>
    </row>
    <row r="8" spans="1:8" ht="27.95" customHeight="1">
      <c r="A8" s="11">
        <v>4</v>
      </c>
      <c r="B8" s="6" t="s">
        <v>43</v>
      </c>
      <c r="C8" s="6" t="s">
        <v>29</v>
      </c>
      <c r="D8" s="12" t="s">
        <v>44</v>
      </c>
      <c r="E8" s="13" t="s">
        <v>45</v>
      </c>
      <c r="F8" s="14" t="s">
        <v>32</v>
      </c>
      <c r="G8" s="15" t="s">
        <v>33</v>
      </c>
      <c r="H8" s="15" t="s">
        <v>34</v>
      </c>
    </row>
    <row r="9" spans="1:8" ht="27.95" customHeight="1">
      <c r="A9" s="5">
        <v>5</v>
      </c>
      <c r="B9" s="6" t="s">
        <v>46</v>
      </c>
      <c r="C9" s="6" t="s">
        <v>29</v>
      </c>
      <c r="D9" s="7" t="s">
        <v>47</v>
      </c>
      <c r="E9" s="8" t="s">
        <v>31</v>
      </c>
      <c r="F9" s="9" t="s">
        <v>32</v>
      </c>
      <c r="G9" s="10" t="s">
        <v>33</v>
      </c>
      <c r="H9" s="10" t="s">
        <v>34</v>
      </c>
    </row>
    <row r="10" spans="1:8" ht="27.95" customHeight="1">
      <c r="A10" s="11">
        <v>6</v>
      </c>
      <c r="B10" s="6" t="s">
        <v>48</v>
      </c>
      <c r="C10" s="6" t="s">
        <v>29</v>
      </c>
      <c r="D10" s="12" t="s">
        <v>49</v>
      </c>
      <c r="E10" s="13" t="s">
        <v>50</v>
      </c>
      <c r="F10" s="14" t="s">
        <v>32</v>
      </c>
      <c r="G10" s="15" t="s">
        <v>33</v>
      </c>
      <c r="H10" s="15" t="s">
        <v>34</v>
      </c>
    </row>
    <row r="11" spans="1:8" ht="27.95" customHeight="1">
      <c r="A11" s="5">
        <v>7</v>
      </c>
      <c r="B11" s="6" t="s">
        <v>51</v>
      </c>
      <c r="C11" s="6" t="s">
        <v>29</v>
      </c>
      <c r="D11" s="7" t="s">
        <v>52</v>
      </c>
      <c r="E11" s="8" t="s">
        <v>53</v>
      </c>
      <c r="F11" s="9" t="s">
        <v>32</v>
      </c>
      <c r="G11" s="10" t="s">
        <v>33</v>
      </c>
      <c r="H11" s="10" t="s">
        <v>34</v>
      </c>
    </row>
    <row r="12" spans="1:8" ht="27.95" customHeight="1">
      <c r="A12" s="11">
        <v>8</v>
      </c>
      <c r="B12" s="6" t="s">
        <v>54</v>
      </c>
      <c r="C12" s="6" t="s">
        <v>29</v>
      </c>
      <c r="D12" s="12" t="s">
        <v>55</v>
      </c>
      <c r="E12" s="13" t="s">
        <v>56</v>
      </c>
      <c r="F12" s="14" t="s">
        <v>32</v>
      </c>
      <c r="G12" s="18" t="s">
        <v>41</v>
      </c>
      <c r="H12" s="19" t="s">
        <v>42</v>
      </c>
    </row>
    <row r="13" spans="1:8" ht="27.95" customHeight="1">
      <c r="A13" s="5">
        <v>9</v>
      </c>
      <c r="B13" s="6" t="s">
        <v>57</v>
      </c>
      <c r="C13" s="6" t="s">
        <v>29</v>
      </c>
      <c r="D13" s="7" t="s">
        <v>58</v>
      </c>
      <c r="E13" s="8" t="s">
        <v>59</v>
      </c>
      <c r="F13" s="9" t="s">
        <v>32</v>
      </c>
      <c r="G13" s="10" t="s">
        <v>33</v>
      </c>
      <c r="H13" s="10" t="s">
        <v>34</v>
      </c>
    </row>
    <row r="14" spans="1:8" ht="36" customHeight="1">
      <c r="A14" s="11">
        <v>10</v>
      </c>
      <c r="B14" s="6" t="s">
        <v>60</v>
      </c>
      <c r="C14" s="6" t="s">
        <v>29</v>
      </c>
      <c r="D14" s="12" t="s">
        <v>61</v>
      </c>
      <c r="E14" s="13" t="s">
        <v>62</v>
      </c>
      <c r="F14" s="20" t="s">
        <v>63</v>
      </c>
      <c r="G14" s="15" t="s">
        <v>64</v>
      </c>
      <c r="H14" s="15" t="s">
        <v>65</v>
      </c>
    </row>
    <row r="15" spans="1:8" ht="21.95" customHeight="1">
      <c r="A15" s="92" t="s">
        <v>66</v>
      </c>
      <c r="B15" s="99"/>
      <c r="C15" s="99"/>
      <c r="D15" s="99"/>
      <c r="E15" s="99"/>
      <c r="F15" s="99"/>
      <c r="G15" s="99"/>
      <c r="H15" s="99"/>
    </row>
    <row r="16" spans="1:8" ht="27.95" customHeight="1">
      <c r="A16" s="21">
        <v>11</v>
      </c>
      <c r="B16" s="22" t="s">
        <v>67</v>
      </c>
      <c r="C16" s="22" t="s">
        <v>68</v>
      </c>
      <c r="D16" s="23" t="s">
        <v>69</v>
      </c>
      <c r="E16" s="24" t="s">
        <v>70</v>
      </c>
      <c r="F16" s="25" t="s">
        <v>32</v>
      </c>
      <c r="G16" s="26" t="s">
        <v>33</v>
      </c>
      <c r="H16" s="26" t="s">
        <v>34</v>
      </c>
    </row>
    <row r="17" spans="1:8" ht="27.95" customHeight="1">
      <c r="A17" s="27">
        <v>12</v>
      </c>
      <c r="B17" s="22" t="s">
        <v>71</v>
      </c>
      <c r="C17" s="22" t="s">
        <v>68</v>
      </c>
      <c r="D17" s="7" t="s">
        <v>72</v>
      </c>
      <c r="E17" s="8" t="s">
        <v>73</v>
      </c>
      <c r="F17" s="9" t="s">
        <v>32</v>
      </c>
      <c r="G17" s="16" t="s">
        <v>41</v>
      </c>
      <c r="H17" s="17" t="s">
        <v>42</v>
      </c>
    </row>
    <row r="18" spans="1:8" ht="27.95" customHeight="1">
      <c r="A18" s="21">
        <v>13</v>
      </c>
      <c r="B18" s="22" t="s">
        <v>74</v>
      </c>
      <c r="C18" s="22" t="s">
        <v>68</v>
      </c>
      <c r="D18" s="23" t="s">
        <v>75</v>
      </c>
      <c r="E18" s="24" t="s">
        <v>76</v>
      </c>
      <c r="F18" s="25" t="s">
        <v>32</v>
      </c>
      <c r="G18" s="26" t="s">
        <v>33</v>
      </c>
      <c r="H18" s="26" t="s">
        <v>34</v>
      </c>
    </row>
    <row r="19" spans="1:8" ht="27.95" customHeight="1">
      <c r="A19" s="27">
        <v>14</v>
      </c>
      <c r="B19" s="22" t="s">
        <v>77</v>
      </c>
      <c r="C19" s="22" t="s">
        <v>68</v>
      </c>
      <c r="D19" s="7" t="s">
        <v>78</v>
      </c>
      <c r="E19" s="8" t="s">
        <v>79</v>
      </c>
      <c r="F19" s="9" t="s">
        <v>32</v>
      </c>
      <c r="G19" s="10" t="s">
        <v>33</v>
      </c>
      <c r="H19" s="10" t="s">
        <v>34</v>
      </c>
    </row>
    <row r="20" spans="1:8" ht="27.95" customHeight="1">
      <c r="A20" s="21">
        <v>15</v>
      </c>
      <c r="B20" s="22" t="s">
        <v>80</v>
      </c>
      <c r="C20" s="22" t="s">
        <v>68</v>
      </c>
      <c r="D20" s="23" t="s">
        <v>81</v>
      </c>
      <c r="E20" s="24" t="s">
        <v>70</v>
      </c>
      <c r="F20" s="25" t="s">
        <v>32</v>
      </c>
      <c r="G20" s="26" t="s">
        <v>33</v>
      </c>
      <c r="H20" s="26" t="s">
        <v>34</v>
      </c>
    </row>
    <row r="21" spans="1:8" ht="27.95" customHeight="1">
      <c r="A21" s="27">
        <v>16</v>
      </c>
      <c r="B21" s="22" t="s">
        <v>82</v>
      </c>
      <c r="C21" s="22" t="s">
        <v>68</v>
      </c>
      <c r="D21" s="7" t="s">
        <v>83</v>
      </c>
      <c r="E21" s="8" t="s">
        <v>84</v>
      </c>
      <c r="F21" s="9" t="s">
        <v>32</v>
      </c>
      <c r="G21" s="10" t="s">
        <v>33</v>
      </c>
      <c r="H21" s="10" t="s">
        <v>34</v>
      </c>
    </row>
    <row r="22" spans="1:8" ht="27.95" customHeight="1">
      <c r="A22" s="21">
        <v>17</v>
      </c>
      <c r="B22" s="22" t="s">
        <v>85</v>
      </c>
      <c r="C22" s="22" t="s">
        <v>68</v>
      </c>
      <c r="D22" s="23" t="s">
        <v>86</v>
      </c>
      <c r="E22" s="24" t="s">
        <v>87</v>
      </c>
      <c r="F22" s="25" t="s">
        <v>32</v>
      </c>
      <c r="G22" s="28" t="s">
        <v>41</v>
      </c>
      <c r="H22" s="29" t="s">
        <v>42</v>
      </c>
    </row>
    <row r="23" spans="1:8" ht="36" customHeight="1">
      <c r="A23" s="27">
        <v>18</v>
      </c>
      <c r="B23" s="22" t="s">
        <v>88</v>
      </c>
      <c r="C23" s="22" t="s">
        <v>68</v>
      </c>
      <c r="D23" s="7" t="s">
        <v>89</v>
      </c>
      <c r="E23" s="8" t="s">
        <v>90</v>
      </c>
      <c r="F23" s="9" t="s">
        <v>32</v>
      </c>
      <c r="G23" s="10" t="s">
        <v>33</v>
      </c>
      <c r="H23" s="10" t="s">
        <v>34</v>
      </c>
    </row>
    <row r="24" spans="1:8" ht="27.95" customHeight="1">
      <c r="A24" s="21">
        <v>19</v>
      </c>
      <c r="B24" s="22" t="s">
        <v>91</v>
      </c>
      <c r="C24" s="22" t="s">
        <v>68</v>
      </c>
      <c r="D24" s="23" t="s">
        <v>92</v>
      </c>
      <c r="E24" s="24" t="s">
        <v>93</v>
      </c>
      <c r="F24" s="25" t="s">
        <v>32</v>
      </c>
      <c r="G24" s="28" t="s">
        <v>41</v>
      </c>
      <c r="H24" s="29" t="s">
        <v>42</v>
      </c>
    </row>
    <row r="25" spans="1:8" ht="36" customHeight="1">
      <c r="A25" s="27">
        <v>20</v>
      </c>
      <c r="B25" s="22" t="s">
        <v>94</v>
      </c>
      <c r="C25" s="22" t="s">
        <v>68</v>
      </c>
      <c r="D25" s="7" t="s">
        <v>95</v>
      </c>
      <c r="E25" s="8" t="s">
        <v>96</v>
      </c>
      <c r="F25" s="30" t="s">
        <v>63</v>
      </c>
      <c r="G25" s="10" t="s">
        <v>64</v>
      </c>
      <c r="H25" s="10" t="s">
        <v>65</v>
      </c>
    </row>
    <row r="26" spans="1:8" ht="21.95" customHeight="1">
      <c r="A26" s="91" t="s">
        <v>97</v>
      </c>
      <c r="B26" s="99"/>
      <c r="C26" s="99"/>
      <c r="D26" s="99"/>
      <c r="E26" s="99"/>
      <c r="F26" s="99"/>
      <c r="G26" s="99"/>
      <c r="H26" s="99"/>
    </row>
    <row r="27" spans="1:8" ht="36" customHeight="1">
      <c r="A27" s="31">
        <v>21</v>
      </c>
      <c r="B27" s="32" t="s">
        <v>98</v>
      </c>
      <c r="C27" s="32" t="s">
        <v>99</v>
      </c>
      <c r="D27" s="7" t="s">
        <v>100</v>
      </c>
      <c r="E27" s="8" t="s">
        <v>101</v>
      </c>
      <c r="F27" s="9" t="s">
        <v>32</v>
      </c>
      <c r="G27" s="10" t="s">
        <v>33</v>
      </c>
      <c r="H27" s="10" t="s">
        <v>34</v>
      </c>
    </row>
    <row r="28" spans="1:8" ht="27.95" customHeight="1">
      <c r="A28" s="33">
        <v>22</v>
      </c>
      <c r="B28" s="32" t="s">
        <v>102</v>
      </c>
      <c r="C28" s="32" t="s">
        <v>99</v>
      </c>
      <c r="D28" s="34" t="s">
        <v>103</v>
      </c>
      <c r="E28" s="35" t="s">
        <v>104</v>
      </c>
      <c r="F28" s="36" t="s">
        <v>32</v>
      </c>
      <c r="G28" s="37" t="s">
        <v>41</v>
      </c>
      <c r="H28" s="38" t="s">
        <v>42</v>
      </c>
    </row>
    <row r="29" spans="1:8" ht="36" customHeight="1">
      <c r="A29" s="31">
        <v>23</v>
      </c>
      <c r="B29" s="32" t="s">
        <v>105</v>
      </c>
      <c r="C29" s="32" t="s">
        <v>99</v>
      </c>
      <c r="D29" s="7" t="s">
        <v>106</v>
      </c>
      <c r="E29" s="8" t="s">
        <v>107</v>
      </c>
      <c r="F29" s="9" t="s">
        <v>32</v>
      </c>
      <c r="G29" s="16" t="s">
        <v>41</v>
      </c>
      <c r="H29" s="17" t="s">
        <v>42</v>
      </c>
    </row>
    <row r="30" spans="1:8" ht="27.95" customHeight="1">
      <c r="A30" s="33">
        <v>24</v>
      </c>
      <c r="B30" s="32" t="s">
        <v>108</v>
      </c>
      <c r="C30" s="32" t="s">
        <v>99</v>
      </c>
      <c r="D30" s="34" t="s">
        <v>109</v>
      </c>
      <c r="E30" s="35" t="s">
        <v>110</v>
      </c>
      <c r="F30" s="36" t="s">
        <v>32</v>
      </c>
      <c r="G30" s="39" t="s">
        <v>33</v>
      </c>
      <c r="H30" s="39" t="s">
        <v>34</v>
      </c>
    </row>
    <row r="31" spans="1:8" ht="27.95" customHeight="1">
      <c r="A31" s="31">
        <v>25</v>
      </c>
      <c r="B31" s="32" t="s">
        <v>111</v>
      </c>
      <c r="C31" s="32" t="s">
        <v>99</v>
      </c>
      <c r="D31" s="7" t="s">
        <v>112</v>
      </c>
      <c r="E31" s="8" t="s">
        <v>113</v>
      </c>
      <c r="F31" s="9" t="s">
        <v>32</v>
      </c>
      <c r="G31" s="16" t="s">
        <v>41</v>
      </c>
      <c r="H31" s="17" t="s">
        <v>42</v>
      </c>
    </row>
    <row r="32" spans="1:8" ht="27.95" customHeight="1">
      <c r="A32" s="33">
        <v>26</v>
      </c>
      <c r="B32" s="32" t="s">
        <v>114</v>
      </c>
      <c r="C32" s="32" t="s">
        <v>99</v>
      </c>
      <c r="D32" s="34" t="s">
        <v>115</v>
      </c>
      <c r="E32" s="35" t="s">
        <v>116</v>
      </c>
      <c r="F32" s="36" t="s">
        <v>32</v>
      </c>
      <c r="G32" s="37" t="s">
        <v>41</v>
      </c>
      <c r="H32" s="38" t="s">
        <v>42</v>
      </c>
    </row>
    <row r="33" spans="1:8" ht="27.95" customHeight="1">
      <c r="A33" s="31">
        <v>27</v>
      </c>
      <c r="B33" s="32" t="s">
        <v>117</v>
      </c>
      <c r="C33" s="32" t="s">
        <v>99</v>
      </c>
      <c r="D33" s="7" t="s">
        <v>118</v>
      </c>
      <c r="E33" s="8" t="s">
        <v>119</v>
      </c>
      <c r="F33" s="9" t="s">
        <v>32</v>
      </c>
      <c r="G33" s="16" t="s">
        <v>41</v>
      </c>
      <c r="H33" s="17" t="s">
        <v>42</v>
      </c>
    </row>
    <row r="34" spans="1:8" ht="27.95" customHeight="1">
      <c r="A34" s="33">
        <v>28</v>
      </c>
      <c r="B34" s="32" t="s">
        <v>120</v>
      </c>
      <c r="C34" s="32" t="s">
        <v>99</v>
      </c>
      <c r="D34" s="34" t="s">
        <v>121</v>
      </c>
      <c r="E34" s="35" t="s">
        <v>50</v>
      </c>
      <c r="F34" s="36" t="s">
        <v>32</v>
      </c>
      <c r="G34" s="39" t="s">
        <v>33</v>
      </c>
      <c r="H34" s="39" t="s">
        <v>34</v>
      </c>
    </row>
    <row r="35" spans="1:8" ht="27.95" customHeight="1">
      <c r="A35" s="31">
        <v>29</v>
      </c>
      <c r="B35" s="32" t="s">
        <v>122</v>
      </c>
      <c r="C35" s="32" t="s">
        <v>99</v>
      </c>
      <c r="D35" s="7" t="s">
        <v>123</v>
      </c>
      <c r="E35" s="8" t="s">
        <v>124</v>
      </c>
      <c r="F35" s="9" t="s">
        <v>32</v>
      </c>
      <c r="G35" s="10" t="s">
        <v>33</v>
      </c>
      <c r="H35" s="10" t="s">
        <v>34</v>
      </c>
    </row>
    <row r="36" spans="1:8" ht="36" customHeight="1">
      <c r="A36" s="33">
        <v>30</v>
      </c>
      <c r="B36" s="32" t="s">
        <v>125</v>
      </c>
      <c r="C36" s="32" t="s">
        <v>99</v>
      </c>
      <c r="D36" s="34" t="s">
        <v>126</v>
      </c>
      <c r="E36" s="35" t="s">
        <v>127</v>
      </c>
      <c r="F36" s="36" t="s">
        <v>32</v>
      </c>
      <c r="G36" s="37" t="s">
        <v>41</v>
      </c>
      <c r="H36" s="38" t="s">
        <v>42</v>
      </c>
    </row>
    <row r="37" spans="1:8" ht="21.95" customHeight="1">
      <c r="A37" s="95" t="s">
        <v>128</v>
      </c>
      <c r="B37" s="99"/>
      <c r="C37" s="99"/>
      <c r="D37" s="99"/>
      <c r="E37" s="99"/>
      <c r="F37" s="99"/>
      <c r="G37" s="99"/>
      <c r="H37" s="99"/>
    </row>
    <row r="38" spans="1:8" ht="27.95" customHeight="1">
      <c r="A38" s="40">
        <v>31</v>
      </c>
      <c r="B38" s="41" t="s">
        <v>129</v>
      </c>
      <c r="C38" s="41" t="s">
        <v>130</v>
      </c>
      <c r="D38" s="42" t="s">
        <v>131</v>
      </c>
      <c r="E38" s="43" t="s">
        <v>132</v>
      </c>
      <c r="F38" s="44" t="s">
        <v>32</v>
      </c>
      <c r="G38" s="45" t="s">
        <v>33</v>
      </c>
      <c r="H38" s="45" t="s">
        <v>34</v>
      </c>
    </row>
    <row r="39" spans="1:8" ht="27.95" customHeight="1">
      <c r="A39" s="46">
        <v>32</v>
      </c>
      <c r="B39" s="41" t="s">
        <v>133</v>
      </c>
      <c r="C39" s="41" t="s">
        <v>130</v>
      </c>
      <c r="D39" s="7" t="s">
        <v>134</v>
      </c>
      <c r="E39" s="8" t="s">
        <v>135</v>
      </c>
      <c r="F39" s="9" t="s">
        <v>32</v>
      </c>
      <c r="G39" s="16" t="s">
        <v>41</v>
      </c>
      <c r="H39" s="17" t="s">
        <v>42</v>
      </c>
    </row>
    <row r="40" spans="1:8" ht="27.95" customHeight="1">
      <c r="A40" s="40">
        <v>33</v>
      </c>
      <c r="B40" s="41" t="s">
        <v>136</v>
      </c>
      <c r="C40" s="41" t="s">
        <v>130</v>
      </c>
      <c r="D40" s="42" t="s">
        <v>137</v>
      </c>
      <c r="E40" s="43" t="s">
        <v>138</v>
      </c>
      <c r="F40" s="44" t="s">
        <v>32</v>
      </c>
      <c r="G40" s="45" t="s">
        <v>33</v>
      </c>
      <c r="H40" s="45" t="s">
        <v>34</v>
      </c>
    </row>
    <row r="41" spans="1:8" ht="27.95" customHeight="1">
      <c r="A41" s="46">
        <v>34</v>
      </c>
      <c r="B41" s="41" t="s">
        <v>139</v>
      </c>
      <c r="C41" s="41" t="s">
        <v>130</v>
      </c>
      <c r="D41" s="7" t="s">
        <v>140</v>
      </c>
      <c r="E41" s="8" t="s">
        <v>141</v>
      </c>
      <c r="F41" s="9" t="s">
        <v>32</v>
      </c>
      <c r="G41" s="10" t="s">
        <v>33</v>
      </c>
      <c r="H41" s="10" t="s">
        <v>34</v>
      </c>
    </row>
    <row r="42" spans="1:8" ht="36" customHeight="1">
      <c r="A42" s="40">
        <v>35</v>
      </c>
      <c r="B42" s="41" t="s">
        <v>142</v>
      </c>
      <c r="C42" s="41" t="s">
        <v>130</v>
      </c>
      <c r="D42" s="42" t="s">
        <v>143</v>
      </c>
      <c r="E42" s="43" t="s">
        <v>144</v>
      </c>
      <c r="F42" s="44" t="s">
        <v>32</v>
      </c>
      <c r="G42" s="45" t="s">
        <v>33</v>
      </c>
      <c r="H42" s="45" t="s">
        <v>34</v>
      </c>
    </row>
    <row r="43" spans="1:8" ht="27.95" customHeight="1">
      <c r="A43" s="46">
        <v>36</v>
      </c>
      <c r="B43" s="41" t="s">
        <v>145</v>
      </c>
      <c r="C43" s="41" t="s">
        <v>130</v>
      </c>
      <c r="D43" s="7" t="s">
        <v>146</v>
      </c>
      <c r="E43" s="8" t="s">
        <v>147</v>
      </c>
      <c r="F43" s="9" t="s">
        <v>32</v>
      </c>
      <c r="G43" s="10" t="s">
        <v>33</v>
      </c>
      <c r="H43" s="10" t="s">
        <v>34</v>
      </c>
    </row>
    <row r="44" spans="1:8" ht="36" customHeight="1">
      <c r="A44" s="40">
        <v>37</v>
      </c>
      <c r="B44" s="41" t="s">
        <v>148</v>
      </c>
      <c r="C44" s="41" t="s">
        <v>130</v>
      </c>
      <c r="D44" s="42" t="s">
        <v>149</v>
      </c>
      <c r="E44" s="43" t="s">
        <v>150</v>
      </c>
      <c r="F44" s="44" t="s">
        <v>32</v>
      </c>
      <c r="G44" s="47" t="s">
        <v>41</v>
      </c>
      <c r="H44" s="48" t="s">
        <v>42</v>
      </c>
    </row>
    <row r="45" spans="1:8" ht="27.95" customHeight="1">
      <c r="A45" s="46">
        <v>38</v>
      </c>
      <c r="B45" s="41" t="s">
        <v>151</v>
      </c>
      <c r="C45" s="41" t="s">
        <v>130</v>
      </c>
      <c r="D45" s="7" t="s">
        <v>152</v>
      </c>
      <c r="E45" s="8" t="s">
        <v>153</v>
      </c>
      <c r="F45" s="9" t="s">
        <v>32</v>
      </c>
      <c r="G45" s="10" t="s">
        <v>33</v>
      </c>
      <c r="H45" s="10" t="s">
        <v>34</v>
      </c>
    </row>
    <row r="46" spans="1:8" ht="27.95" customHeight="1">
      <c r="A46" s="40">
        <v>39</v>
      </c>
      <c r="B46" s="41" t="s">
        <v>154</v>
      </c>
      <c r="C46" s="41" t="s">
        <v>130</v>
      </c>
      <c r="D46" s="42" t="s">
        <v>155</v>
      </c>
      <c r="E46" s="43" t="s">
        <v>156</v>
      </c>
      <c r="F46" s="44" t="s">
        <v>32</v>
      </c>
      <c r="G46" s="45" t="s">
        <v>33</v>
      </c>
      <c r="H46" s="45" t="s">
        <v>34</v>
      </c>
    </row>
    <row r="47" spans="1:8" ht="36" customHeight="1">
      <c r="A47" s="46">
        <v>40</v>
      </c>
      <c r="B47" s="41" t="s">
        <v>157</v>
      </c>
      <c r="C47" s="41" t="s">
        <v>130</v>
      </c>
      <c r="D47" s="7" t="s">
        <v>158</v>
      </c>
      <c r="E47" s="8" t="s">
        <v>159</v>
      </c>
      <c r="F47" s="16" t="s">
        <v>63</v>
      </c>
      <c r="G47" s="10" t="s">
        <v>64</v>
      </c>
      <c r="H47" s="10" t="s">
        <v>65</v>
      </c>
    </row>
    <row r="48" spans="1:8" ht="21.95" customHeight="1">
      <c r="A48" s="90" t="s">
        <v>160</v>
      </c>
      <c r="B48" s="99"/>
      <c r="C48" s="99"/>
      <c r="D48" s="99"/>
      <c r="E48" s="99"/>
      <c r="F48" s="99"/>
      <c r="G48" s="99"/>
      <c r="H48" s="99"/>
    </row>
    <row r="49" spans="1:8" ht="36" customHeight="1">
      <c r="A49" s="49">
        <v>41</v>
      </c>
      <c r="B49" s="50" t="s">
        <v>161</v>
      </c>
      <c r="C49" s="50" t="s">
        <v>162</v>
      </c>
      <c r="D49" s="7" t="s">
        <v>163</v>
      </c>
      <c r="E49" s="8" t="s">
        <v>164</v>
      </c>
      <c r="F49" s="9" t="s">
        <v>32</v>
      </c>
      <c r="G49" s="16" t="s">
        <v>41</v>
      </c>
      <c r="H49" s="17" t="s">
        <v>42</v>
      </c>
    </row>
    <row r="50" spans="1:8" ht="27.95" customHeight="1">
      <c r="A50" s="51">
        <v>42</v>
      </c>
      <c r="B50" s="50" t="s">
        <v>165</v>
      </c>
      <c r="C50" s="50" t="s">
        <v>162</v>
      </c>
      <c r="D50" s="52" t="s">
        <v>166</v>
      </c>
      <c r="E50" s="53" t="s">
        <v>167</v>
      </c>
      <c r="F50" s="54" t="s">
        <v>32</v>
      </c>
      <c r="G50" s="55" t="s">
        <v>41</v>
      </c>
      <c r="H50" s="56" t="s">
        <v>42</v>
      </c>
    </row>
    <row r="51" spans="1:8" ht="36" customHeight="1">
      <c r="A51" s="49">
        <v>43</v>
      </c>
      <c r="B51" s="50" t="s">
        <v>168</v>
      </c>
      <c r="C51" s="50" t="s">
        <v>162</v>
      </c>
      <c r="D51" s="7" t="s">
        <v>169</v>
      </c>
      <c r="E51" s="8" t="s">
        <v>170</v>
      </c>
      <c r="F51" s="9" t="s">
        <v>32</v>
      </c>
      <c r="G51" s="10" t="s">
        <v>33</v>
      </c>
      <c r="H51" s="10" t="s">
        <v>34</v>
      </c>
    </row>
    <row r="52" spans="1:8" ht="27.95" customHeight="1">
      <c r="A52" s="51">
        <v>44</v>
      </c>
      <c r="B52" s="50" t="s">
        <v>171</v>
      </c>
      <c r="C52" s="50" t="s">
        <v>162</v>
      </c>
      <c r="D52" s="52" t="s">
        <v>172</v>
      </c>
      <c r="E52" s="53" t="s">
        <v>173</v>
      </c>
      <c r="F52" s="54" t="s">
        <v>32</v>
      </c>
      <c r="G52" s="57" t="s">
        <v>33</v>
      </c>
      <c r="H52" s="57" t="s">
        <v>34</v>
      </c>
    </row>
    <row r="53" spans="1:8" ht="27.95" customHeight="1">
      <c r="A53" s="49">
        <v>45</v>
      </c>
      <c r="B53" s="50" t="s">
        <v>174</v>
      </c>
      <c r="C53" s="50" t="s">
        <v>162</v>
      </c>
      <c r="D53" s="7" t="s">
        <v>175</v>
      </c>
      <c r="E53" s="8" t="s">
        <v>176</v>
      </c>
      <c r="F53" s="9" t="s">
        <v>32</v>
      </c>
      <c r="G53" s="16" t="s">
        <v>41</v>
      </c>
      <c r="H53" s="17" t="s">
        <v>42</v>
      </c>
    </row>
    <row r="54" spans="1:8" ht="27.95" customHeight="1">
      <c r="A54" s="51">
        <v>46</v>
      </c>
      <c r="B54" s="50" t="s">
        <v>177</v>
      </c>
      <c r="C54" s="50" t="s">
        <v>162</v>
      </c>
      <c r="D54" s="52" t="s">
        <v>178</v>
      </c>
      <c r="E54" s="53" t="s">
        <v>179</v>
      </c>
      <c r="F54" s="54" t="s">
        <v>32</v>
      </c>
      <c r="G54" s="57" t="s">
        <v>33</v>
      </c>
      <c r="H54" s="57" t="s">
        <v>34</v>
      </c>
    </row>
    <row r="55" spans="1:8" ht="27.95" customHeight="1">
      <c r="A55" s="49">
        <v>47</v>
      </c>
      <c r="B55" s="50" t="s">
        <v>180</v>
      </c>
      <c r="C55" s="50" t="s">
        <v>162</v>
      </c>
      <c r="D55" s="7" t="s">
        <v>181</v>
      </c>
      <c r="E55" s="8" t="s">
        <v>182</v>
      </c>
      <c r="F55" s="9" t="s">
        <v>32</v>
      </c>
      <c r="G55" s="10" t="s">
        <v>33</v>
      </c>
      <c r="H55" s="10" t="s">
        <v>34</v>
      </c>
    </row>
    <row r="56" spans="1:8" ht="36" customHeight="1">
      <c r="A56" s="51">
        <v>48</v>
      </c>
      <c r="B56" s="50" t="s">
        <v>183</v>
      </c>
      <c r="C56" s="50" t="s">
        <v>162</v>
      </c>
      <c r="D56" s="52" t="s">
        <v>184</v>
      </c>
      <c r="E56" s="53" t="s">
        <v>185</v>
      </c>
      <c r="F56" s="54" t="s">
        <v>32</v>
      </c>
      <c r="G56" s="55" t="s">
        <v>41</v>
      </c>
      <c r="H56" s="56" t="s">
        <v>42</v>
      </c>
    </row>
    <row r="57" spans="1:8" ht="36" customHeight="1">
      <c r="A57" s="49">
        <v>49</v>
      </c>
      <c r="B57" s="50" t="s">
        <v>186</v>
      </c>
      <c r="C57" s="50" t="s">
        <v>162</v>
      </c>
      <c r="D57" s="7" t="s">
        <v>187</v>
      </c>
      <c r="E57" s="8" t="s">
        <v>188</v>
      </c>
      <c r="F57" s="9" t="s">
        <v>32</v>
      </c>
      <c r="G57" s="16" t="s">
        <v>41</v>
      </c>
      <c r="H57" s="17" t="s">
        <v>42</v>
      </c>
    </row>
    <row r="58" spans="1:8" ht="27.95" customHeight="1">
      <c r="A58" s="51">
        <v>50</v>
      </c>
      <c r="B58" s="50" t="s">
        <v>189</v>
      </c>
      <c r="C58" s="50" t="s">
        <v>162</v>
      </c>
      <c r="D58" s="52" t="s">
        <v>190</v>
      </c>
      <c r="E58" s="53" t="s">
        <v>191</v>
      </c>
      <c r="F58" s="58" t="s">
        <v>63</v>
      </c>
      <c r="G58" s="57" t="s">
        <v>64</v>
      </c>
      <c r="H58" s="57" t="s">
        <v>65</v>
      </c>
    </row>
  </sheetData>
  <mergeCells count="7">
    <mergeCell ref="A1:H1"/>
    <mergeCell ref="A37:H37"/>
    <mergeCell ref="A4:H4"/>
    <mergeCell ref="A48:H48"/>
    <mergeCell ref="A26:H26"/>
    <mergeCell ref="A15:H15"/>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59"/>
  <sheetViews>
    <sheetView showGridLines="0" workbookViewId="0">
      <pane xSplit="3" ySplit="4" topLeftCell="D5" activePane="bottomRight" state="frozen"/>
      <selection pane="bottomRight"/>
      <selection pane="bottomLeft"/>
      <selection pane="topRight"/>
    </sheetView>
  </sheetViews>
  <sheetFormatPr defaultRowHeight="15"/>
  <cols>
    <col min="1" max="1" width="22" customWidth="1"/>
    <col min="2" max="2" width="20" customWidth="1"/>
    <col min="3" max="3" width="22" customWidth="1"/>
    <col min="4" max="12" width="8" customWidth="1"/>
    <col min="13" max="13" width="40" customWidth="1"/>
    <col min="14" max="22" width="8" customWidth="1"/>
    <col min="23" max="23" width="40" customWidth="1"/>
    <col min="24" max="42" width="8" customWidth="1"/>
    <col min="43" max="43" width="40" customWidth="1"/>
    <col min="44" max="52" width="8" customWidth="1"/>
    <col min="53" max="53" width="40" customWidth="1"/>
  </cols>
  <sheetData>
    <row r="1" spans="1:53" ht="27.95" customHeight="1">
      <c r="A1" s="97" t="s">
        <v>192</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row>
    <row r="2" spans="1:53" ht="18" customHeight="1">
      <c r="A2" s="60" t="s">
        <v>193</v>
      </c>
      <c r="B2" s="60" t="s">
        <v>193</v>
      </c>
      <c r="C2" s="60" t="s">
        <v>193</v>
      </c>
      <c r="D2" s="61" t="s">
        <v>29</v>
      </c>
      <c r="E2" s="61" t="s">
        <v>29</v>
      </c>
      <c r="F2" s="61" t="s">
        <v>29</v>
      </c>
      <c r="G2" s="61" t="s">
        <v>29</v>
      </c>
      <c r="H2" s="61" t="s">
        <v>29</v>
      </c>
      <c r="I2" s="61" t="s">
        <v>29</v>
      </c>
      <c r="J2" s="61" t="s">
        <v>29</v>
      </c>
      <c r="K2" s="61" t="s">
        <v>29</v>
      </c>
      <c r="L2" s="61" t="s">
        <v>29</v>
      </c>
      <c r="M2" s="61" t="s">
        <v>29</v>
      </c>
      <c r="N2" s="62" t="s">
        <v>68</v>
      </c>
      <c r="O2" s="62" t="s">
        <v>68</v>
      </c>
      <c r="P2" s="62" t="s">
        <v>68</v>
      </c>
      <c r="Q2" s="62" t="s">
        <v>68</v>
      </c>
      <c r="R2" s="62" t="s">
        <v>68</v>
      </c>
      <c r="S2" s="62" t="s">
        <v>68</v>
      </c>
      <c r="T2" s="62" t="s">
        <v>68</v>
      </c>
      <c r="U2" s="62" t="s">
        <v>68</v>
      </c>
      <c r="V2" s="62" t="s">
        <v>68</v>
      </c>
      <c r="W2" s="62" t="s">
        <v>68</v>
      </c>
      <c r="X2" s="63" t="s">
        <v>99</v>
      </c>
      <c r="Y2" s="63" t="s">
        <v>99</v>
      </c>
      <c r="Z2" s="63" t="s">
        <v>99</v>
      </c>
      <c r="AA2" s="63" t="s">
        <v>99</v>
      </c>
      <c r="AB2" s="63" t="s">
        <v>99</v>
      </c>
      <c r="AC2" s="63" t="s">
        <v>99</v>
      </c>
      <c r="AD2" s="63" t="s">
        <v>99</v>
      </c>
      <c r="AE2" s="63" t="s">
        <v>99</v>
      </c>
      <c r="AF2" s="63" t="s">
        <v>99</v>
      </c>
      <c r="AG2" s="63" t="s">
        <v>99</v>
      </c>
      <c r="AH2" s="64" t="s">
        <v>130</v>
      </c>
      <c r="AI2" s="64" t="s">
        <v>130</v>
      </c>
      <c r="AJ2" s="64" t="s">
        <v>130</v>
      </c>
      <c r="AK2" s="64" t="s">
        <v>130</v>
      </c>
      <c r="AL2" s="64" t="s">
        <v>130</v>
      </c>
      <c r="AM2" s="64" t="s">
        <v>130</v>
      </c>
      <c r="AN2" s="64" t="s">
        <v>130</v>
      </c>
      <c r="AO2" s="64" t="s">
        <v>130</v>
      </c>
      <c r="AP2" s="64" t="s">
        <v>130</v>
      </c>
      <c r="AQ2" s="64" t="s">
        <v>130</v>
      </c>
      <c r="AR2" s="65" t="s">
        <v>162</v>
      </c>
      <c r="AS2" s="65" t="s">
        <v>162</v>
      </c>
      <c r="AT2" s="65" t="s">
        <v>162</v>
      </c>
      <c r="AU2" s="65" t="s">
        <v>162</v>
      </c>
      <c r="AV2" s="65" t="s">
        <v>162</v>
      </c>
      <c r="AW2" s="65" t="s">
        <v>162</v>
      </c>
      <c r="AX2" s="65" t="s">
        <v>162</v>
      </c>
      <c r="AY2" s="65" t="s">
        <v>162</v>
      </c>
      <c r="AZ2" s="65" t="s">
        <v>162</v>
      </c>
      <c r="BA2" s="65" t="s">
        <v>162</v>
      </c>
    </row>
    <row r="3" spans="1:53" ht="21.95" customHeight="1">
      <c r="A3" s="66" t="s">
        <v>194</v>
      </c>
      <c r="B3" s="66" t="s">
        <v>195</v>
      </c>
      <c r="C3" s="66" t="s">
        <v>196</v>
      </c>
      <c r="D3" s="4" t="s">
        <v>28</v>
      </c>
      <c r="E3" s="4" t="s">
        <v>35</v>
      </c>
      <c r="F3" s="4" t="s">
        <v>38</v>
      </c>
      <c r="G3" s="4" t="s">
        <v>43</v>
      </c>
      <c r="H3" s="4" t="s">
        <v>46</v>
      </c>
      <c r="I3" s="4" t="s">
        <v>48</v>
      </c>
      <c r="J3" s="4" t="s">
        <v>51</v>
      </c>
      <c r="K3" s="4" t="s">
        <v>54</v>
      </c>
      <c r="L3" s="4" t="s">
        <v>57</v>
      </c>
      <c r="M3" s="67" t="s">
        <v>60</v>
      </c>
      <c r="N3" s="4" t="s">
        <v>67</v>
      </c>
      <c r="O3" s="4" t="s">
        <v>71</v>
      </c>
      <c r="P3" s="4" t="s">
        <v>74</v>
      </c>
      <c r="Q3" s="4" t="s">
        <v>77</v>
      </c>
      <c r="R3" s="4" t="s">
        <v>80</v>
      </c>
      <c r="S3" s="4" t="s">
        <v>82</v>
      </c>
      <c r="T3" s="4" t="s">
        <v>85</v>
      </c>
      <c r="U3" s="4" t="s">
        <v>88</v>
      </c>
      <c r="V3" s="4" t="s">
        <v>91</v>
      </c>
      <c r="W3" s="67" t="s">
        <v>94</v>
      </c>
      <c r="X3" s="4" t="s">
        <v>98</v>
      </c>
      <c r="Y3" s="4" t="s">
        <v>102</v>
      </c>
      <c r="Z3" s="4" t="s">
        <v>105</v>
      </c>
      <c r="AA3" s="4" t="s">
        <v>108</v>
      </c>
      <c r="AB3" s="4" t="s">
        <v>111</v>
      </c>
      <c r="AC3" s="4" t="s">
        <v>114</v>
      </c>
      <c r="AD3" s="4" t="s">
        <v>117</v>
      </c>
      <c r="AE3" s="4" t="s">
        <v>120</v>
      </c>
      <c r="AF3" s="4" t="s">
        <v>122</v>
      </c>
      <c r="AG3" s="4" t="s">
        <v>125</v>
      </c>
      <c r="AH3" s="4" t="s">
        <v>129</v>
      </c>
      <c r="AI3" s="4" t="s">
        <v>133</v>
      </c>
      <c r="AJ3" s="4" t="s">
        <v>136</v>
      </c>
      <c r="AK3" s="4" t="s">
        <v>139</v>
      </c>
      <c r="AL3" s="4" t="s">
        <v>142</v>
      </c>
      <c r="AM3" s="4" t="s">
        <v>145</v>
      </c>
      <c r="AN3" s="4" t="s">
        <v>148</v>
      </c>
      <c r="AO3" s="4" t="s">
        <v>151</v>
      </c>
      <c r="AP3" s="4" t="s">
        <v>154</v>
      </c>
      <c r="AQ3" s="67" t="s">
        <v>157</v>
      </c>
      <c r="AR3" s="4" t="s">
        <v>161</v>
      </c>
      <c r="AS3" s="4" t="s">
        <v>165</v>
      </c>
      <c r="AT3" s="4" t="s">
        <v>168</v>
      </c>
      <c r="AU3" s="4" t="s">
        <v>171</v>
      </c>
      <c r="AV3" s="4" t="s">
        <v>174</v>
      </c>
      <c r="AW3" s="4" t="s">
        <v>177</v>
      </c>
      <c r="AX3" s="4" t="s">
        <v>180</v>
      </c>
      <c r="AY3" s="4" t="s">
        <v>183</v>
      </c>
      <c r="AZ3" s="4" t="s">
        <v>186</v>
      </c>
      <c r="BA3" s="67" t="s">
        <v>189</v>
      </c>
    </row>
    <row r="4" spans="1:53" ht="21.95" customHeight="1">
      <c r="A4" s="68" t="s">
        <v>197</v>
      </c>
      <c r="B4" s="68" t="s">
        <v>197</v>
      </c>
      <c r="C4" s="68" t="s">
        <v>197</v>
      </c>
      <c r="D4" s="68" t="s">
        <v>198</v>
      </c>
      <c r="E4" s="68" t="s">
        <v>198</v>
      </c>
      <c r="F4" s="68" t="s">
        <v>199</v>
      </c>
      <c r="G4" s="68" t="s">
        <v>198</v>
      </c>
      <c r="H4" s="68" t="s">
        <v>198</v>
      </c>
      <c r="I4" s="68" t="s">
        <v>198</v>
      </c>
      <c r="J4" s="68" t="s">
        <v>198</v>
      </c>
      <c r="K4" s="68" t="s">
        <v>199</v>
      </c>
      <c r="L4" s="68" t="s">
        <v>198</v>
      </c>
      <c r="M4" s="68" t="s">
        <v>200</v>
      </c>
      <c r="N4" s="68" t="s">
        <v>198</v>
      </c>
      <c r="O4" s="68" t="s">
        <v>199</v>
      </c>
      <c r="P4" s="68" t="s">
        <v>198</v>
      </c>
      <c r="Q4" s="68" t="s">
        <v>198</v>
      </c>
      <c r="R4" s="68" t="s">
        <v>198</v>
      </c>
      <c r="S4" s="68" t="s">
        <v>198</v>
      </c>
      <c r="T4" s="68" t="s">
        <v>199</v>
      </c>
      <c r="U4" s="68" t="s">
        <v>198</v>
      </c>
      <c r="V4" s="68" t="s">
        <v>199</v>
      </c>
      <c r="W4" s="68" t="s">
        <v>200</v>
      </c>
      <c r="X4" s="68" t="s">
        <v>198</v>
      </c>
      <c r="Y4" s="68" t="s">
        <v>199</v>
      </c>
      <c r="Z4" s="68" t="s">
        <v>199</v>
      </c>
      <c r="AA4" s="68" t="s">
        <v>198</v>
      </c>
      <c r="AB4" s="68" t="s">
        <v>199</v>
      </c>
      <c r="AC4" s="68" t="s">
        <v>199</v>
      </c>
      <c r="AD4" s="68" t="s">
        <v>199</v>
      </c>
      <c r="AE4" s="68" t="s">
        <v>198</v>
      </c>
      <c r="AF4" s="68" t="s">
        <v>198</v>
      </c>
      <c r="AG4" s="68" t="s">
        <v>199</v>
      </c>
      <c r="AH4" s="68" t="s">
        <v>198</v>
      </c>
      <c r="AI4" s="68" t="s">
        <v>199</v>
      </c>
      <c r="AJ4" s="68" t="s">
        <v>198</v>
      </c>
      <c r="AK4" s="68" t="s">
        <v>198</v>
      </c>
      <c r="AL4" s="68" t="s">
        <v>198</v>
      </c>
      <c r="AM4" s="68" t="s">
        <v>198</v>
      </c>
      <c r="AN4" s="68" t="s">
        <v>199</v>
      </c>
      <c r="AO4" s="68" t="s">
        <v>198</v>
      </c>
      <c r="AP4" s="68" t="s">
        <v>198</v>
      </c>
      <c r="AQ4" s="68" t="s">
        <v>200</v>
      </c>
      <c r="AR4" s="68" t="s">
        <v>199</v>
      </c>
      <c r="AS4" s="68" t="s">
        <v>199</v>
      </c>
      <c r="AT4" s="68" t="s">
        <v>198</v>
      </c>
      <c r="AU4" s="68" t="s">
        <v>198</v>
      </c>
      <c r="AV4" s="68" t="s">
        <v>199</v>
      </c>
      <c r="AW4" s="68" t="s">
        <v>198</v>
      </c>
      <c r="AX4" s="68" t="s">
        <v>198</v>
      </c>
      <c r="AY4" s="68" t="s">
        <v>199</v>
      </c>
      <c r="AZ4" s="68" t="s">
        <v>199</v>
      </c>
      <c r="BA4" s="68" t="s">
        <v>200</v>
      </c>
    </row>
    <row r="5" spans="1:53" ht="20.100000000000001" customHeight="1">
      <c r="A5" s="69"/>
      <c r="B5" s="69"/>
      <c r="C5" s="69"/>
      <c r="D5" s="70"/>
      <c r="E5" s="70"/>
      <c r="F5" s="70"/>
      <c r="G5" s="70"/>
      <c r="H5" s="70"/>
      <c r="I5" s="70"/>
      <c r="J5" s="70"/>
      <c r="K5" s="70"/>
      <c r="L5" s="70"/>
      <c r="M5" s="71"/>
      <c r="N5" s="70"/>
      <c r="O5" s="70"/>
      <c r="P5" s="70"/>
      <c r="Q5" s="70"/>
      <c r="R5" s="70"/>
      <c r="S5" s="70"/>
      <c r="T5" s="70"/>
      <c r="U5" s="70"/>
      <c r="V5" s="70"/>
      <c r="W5" s="71"/>
      <c r="X5" s="70"/>
      <c r="Y5" s="70"/>
      <c r="Z5" s="70"/>
      <c r="AA5" s="70"/>
      <c r="AB5" s="70"/>
      <c r="AC5" s="70"/>
      <c r="AD5" s="70"/>
      <c r="AE5" s="70"/>
      <c r="AF5" s="70"/>
      <c r="AG5" s="70"/>
      <c r="AH5" s="70"/>
      <c r="AI5" s="70"/>
      <c r="AJ5" s="70"/>
      <c r="AK5" s="70"/>
      <c r="AL5" s="70"/>
      <c r="AM5" s="70"/>
      <c r="AN5" s="70"/>
      <c r="AO5" s="70"/>
      <c r="AP5" s="70"/>
      <c r="AQ5" s="71"/>
      <c r="AR5" s="70"/>
      <c r="AS5" s="70"/>
      <c r="AT5" s="70"/>
      <c r="AU5" s="70"/>
      <c r="AV5" s="70"/>
      <c r="AW5" s="70"/>
      <c r="AX5" s="70"/>
      <c r="AY5" s="70"/>
      <c r="AZ5" s="70"/>
      <c r="BA5" s="71"/>
    </row>
    <row r="6" spans="1:53" ht="20.100000000000001" customHeight="1">
      <c r="A6" s="72"/>
      <c r="B6" s="72"/>
      <c r="C6" s="72"/>
      <c r="D6" s="70"/>
      <c r="E6" s="70"/>
      <c r="F6" s="70"/>
      <c r="G6" s="70"/>
      <c r="H6" s="70"/>
      <c r="I6" s="70"/>
      <c r="J6" s="70"/>
      <c r="K6" s="70"/>
      <c r="L6" s="70"/>
      <c r="M6" s="71"/>
      <c r="N6" s="70"/>
      <c r="O6" s="70"/>
      <c r="P6" s="70"/>
      <c r="Q6" s="70"/>
      <c r="R6" s="70"/>
      <c r="S6" s="70"/>
      <c r="T6" s="70"/>
      <c r="U6" s="70"/>
      <c r="V6" s="70"/>
      <c r="W6" s="71"/>
      <c r="X6" s="70"/>
      <c r="Y6" s="70"/>
      <c r="Z6" s="70"/>
      <c r="AA6" s="70"/>
      <c r="AB6" s="70"/>
      <c r="AC6" s="70"/>
      <c r="AD6" s="70"/>
      <c r="AE6" s="70"/>
      <c r="AF6" s="70"/>
      <c r="AG6" s="70"/>
      <c r="AH6" s="70"/>
      <c r="AI6" s="70"/>
      <c r="AJ6" s="70"/>
      <c r="AK6" s="70"/>
      <c r="AL6" s="70"/>
      <c r="AM6" s="70"/>
      <c r="AN6" s="70"/>
      <c r="AO6" s="70"/>
      <c r="AP6" s="70"/>
      <c r="AQ6" s="71"/>
      <c r="AR6" s="70"/>
      <c r="AS6" s="70"/>
      <c r="AT6" s="70"/>
      <c r="AU6" s="70"/>
      <c r="AV6" s="70"/>
      <c r="AW6" s="70"/>
      <c r="AX6" s="70"/>
      <c r="AY6" s="70"/>
      <c r="AZ6" s="70"/>
      <c r="BA6" s="71"/>
    </row>
    <row r="7" spans="1:53" ht="20.100000000000001" customHeight="1">
      <c r="A7" s="69"/>
      <c r="B7" s="69"/>
      <c r="C7" s="69"/>
      <c r="D7" s="70"/>
      <c r="E7" s="70"/>
      <c r="F7" s="70"/>
      <c r="G7" s="70"/>
      <c r="H7" s="70"/>
      <c r="I7" s="70"/>
      <c r="J7" s="70"/>
      <c r="K7" s="70"/>
      <c r="L7" s="70"/>
      <c r="M7" s="71"/>
      <c r="N7" s="70"/>
      <c r="O7" s="70"/>
      <c r="P7" s="70"/>
      <c r="Q7" s="70"/>
      <c r="R7" s="70"/>
      <c r="S7" s="70"/>
      <c r="T7" s="70"/>
      <c r="U7" s="70"/>
      <c r="V7" s="70"/>
      <c r="W7" s="71"/>
      <c r="X7" s="70"/>
      <c r="Y7" s="70"/>
      <c r="Z7" s="70"/>
      <c r="AA7" s="70"/>
      <c r="AB7" s="70"/>
      <c r="AC7" s="70"/>
      <c r="AD7" s="70"/>
      <c r="AE7" s="70"/>
      <c r="AF7" s="70"/>
      <c r="AG7" s="70"/>
      <c r="AH7" s="70"/>
      <c r="AI7" s="70"/>
      <c r="AJ7" s="70"/>
      <c r="AK7" s="70"/>
      <c r="AL7" s="70"/>
      <c r="AM7" s="70"/>
      <c r="AN7" s="70"/>
      <c r="AO7" s="70"/>
      <c r="AP7" s="70"/>
      <c r="AQ7" s="71"/>
      <c r="AR7" s="70"/>
      <c r="AS7" s="70"/>
      <c r="AT7" s="70"/>
      <c r="AU7" s="70"/>
      <c r="AV7" s="70"/>
      <c r="AW7" s="70"/>
      <c r="AX7" s="70"/>
      <c r="AY7" s="70"/>
      <c r="AZ7" s="70"/>
      <c r="BA7" s="71"/>
    </row>
    <row r="8" spans="1:53" ht="20.100000000000001" customHeight="1">
      <c r="A8" s="72"/>
      <c r="B8" s="72"/>
      <c r="C8" s="72"/>
      <c r="D8" s="70"/>
      <c r="E8" s="70"/>
      <c r="F8" s="70"/>
      <c r="G8" s="70"/>
      <c r="H8" s="70"/>
      <c r="I8" s="70"/>
      <c r="J8" s="70"/>
      <c r="K8" s="70"/>
      <c r="L8" s="70"/>
      <c r="M8" s="71"/>
      <c r="N8" s="70"/>
      <c r="O8" s="70"/>
      <c r="P8" s="70"/>
      <c r="Q8" s="70"/>
      <c r="R8" s="70"/>
      <c r="S8" s="70"/>
      <c r="T8" s="70"/>
      <c r="U8" s="70"/>
      <c r="V8" s="70"/>
      <c r="W8" s="71"/>
      <c r="X8" s="70"/>
      <c r="Y8" s="70"/>
      <c r="Z8" s="70"/>
      <c r="AA8" s="70"/>
      <c r="AB8" s="70"/>
      <c r="AC8" s="70"/>
      <c r="AD8" s="70"/>
      <c r="AE8" s="70"/>
      <c r="AF8" s="70"/>
      <c r="AG8" s="70"/>
      <c r="AH8" s="70"/>
      <c r="AI8" s="70"/>
      <c r="AJ8" s="70"/>
      <c r="AK8" s="70"/>
      <c r="AL8" s="70"/>
      <c r="AM8" s="70"/>
      <c r="AN8" s="70"/>
      <c r="AO8" s="70"/>
      <c r="AP8" s="70"/>
      <c r="AQ8" s="71"/>
      <c r="AR8" s="70"/>
      <c r="AS8" s="70"/>
      <c r="AT8" s="70"/>
      <c r="AU8" s="70"/>
      <c r="AV8" s="70"/>
      <c r="AW8" s="70"/>
      <c r="AX8" s="70"/>
      <c r="AY8" s="70"/>
      <c r="AZ8" s="70"/>
      <c r="BA8" s="71"/>
    </row>
    <row r="9" spans="1:53" ht="20.100000000000001" customHeight="1">
      <c r="A9" s="69"/>
      <c r="B9" s="69"/>
      <c r="C9" s="69"/>
      <c r="D9" s="70"/>
      <c r="E9" s="70"/>
      <c r="F9" s="70"/>
      <c r="G9" s="70"/>
      <c r="H9" s="70"/>
      <c r="I9" s="70"/>
      <c r="J9" s="70"/>
      <c r="K9" s="70"/>
      <c r="L9" s="70"/>
      <c r="M9" s="71"/>
      <c r="N9" s="70"/>
      <c r="O9" s="70"/>
      <c r="P9" s="70"/>
      <c r="Q9" s="70"/>
      <c r="R9" s="70"/>
      <c r="S9" s="70"/>
      <c r="T9" s="70"/>
      <c r="U9" s="70"/>
      <c r="V9" s="70"/>
      <c r="W9" s="71"/>
      <c r="X9" s="70"/>
      <c r="Y9" s="70"/>
      <c r="Z9" s="70"/>
      <c r="AA9" s="70"/>
      <c r="AB9" s="70"/>
      <c r="AC9" s="70"/>
      <c r="AD9" s="70"/>
      <c r="AE9" s="70"/>
      <c r="AF9" s="70"/>
      <c r="AG9" s="70"/>
      <c r="AH9" s="70"/>
      <c r="AI9" s="70"/>
      <c r="AJ9" s="70"/>
      <c r="AK9" s="70"/>
      <c r="AL9" s="70"/>
      <c r="AM9" s="70"/>
      <c r="AN9" s="70"/>
      <c r="AO9" s="70"/>
      <c r="AP9" s="70"/>
      <c r="AQ9" s="71"/>
      <c r="AR9" s="70"/>
      <c r="AS9" s="70"/>
      <c r="AT9" s="70"/>
      <c r="AU9" s="70"/>
      <c r="AV9" s="70"/>
      <c r="AW9" s="70"/>
      <c r="AX9" s="70"/>
      <c r="AY9" s="70"/>
      <c r="AZ9" s="70"/>
      <c r="BA9" s="71"/>
    </row>
    <row r="10" spans="1:53" ht="20.100000000000001" customHeight="1">
      <c r="A10" s="72"/>
      <c r="B10" s="72"/>
      <c r="C10" s="72"/>
      <c r="D10" s="70"/>
      <c r="E10" s="70"/>
      <c r="F10" s="70"/>
      <c r="G10" s="70"/>
      <c r="H10" s="70"/>
      <c r="I10" s="70"/>
      <c r="J10" s="70"/>
      <c r="K10" s="70"/>
      <c r="L10" s="70"/>
      <c r="M10" s="71"/>
      <c r="N10" s="70"/>
      <c r="O10" s="70"/>
      <c r="P10" s="70"/>
      <c r="Q10" s="70"/>
      <c r="R10" s="70"/>
      <c r="S10" s="70"/>
      <c r="T10" s="70"/>
      <c r="U10" s="70"/>
      <c r="V10" s="70"/>
      <c r="W10" s="71"/>
      <c r="X10" s="70"/>
      <c r="Y10" s="70"/>
      <c r="Z10" s="70"/>
      <c r="AA10" s="70"/>
      <c r="AB10" s="70"/>
      <c r="AC10" s="70"/>
      <c r="AD10" s="70"/>
      <c r="AE10" s="70"/>
      <c r="AF10" s="70"/>
      <c r="AG10" s="70"/>
      <c r="AH10" s="70"/>
      <c r="AI10" s="70"/>
      <c r="AJ10" s="70"/>
      <c r="AK10" s="70"/>
      <c r="AL10" s="70"/>
      <c r="AM10" s="70"/>
      <c r="AN10" s="70"/>
      <c r="AO10" s="70"/>
      <c r="AP10" s="70"/>
      <c r="AQ10" s="71"/>
      <c r="AR10" s="70"/>
      <c r="AS10" s="70"/>
      <c r="AT10" s="70"/>
      <c r="AU10" s="70"/>
      <c r="AV10" s="70"/>
      <c r="AW10" s="70"/>
      <c r="AX10" s="70"/>
      <c r="AY10" s="70"/>
      <c r="AZ10" s="70"/>
      <c r="BA10" s="71"/>
    </row>
    <row r="11" spans="1:53" ht="20.100000000000001" customHeight="1">
      <c r="A11" s="69"/>
      <c r="B11" s="69"/>
      <c r="C11" s="69"/>
      <c r="D11" s="70"/>
      <c r="E11" s="70"/>
      <c r="F11" s="70"/>
      <c r="G11" s="70"/>
      <c r="H11" s="70"/>
      <c r="I11" s="70"/>
      <c r="J11" s="70"/>
      <c r="K11" s="70"/>
      <c r="L11" s="70"/>
      <c r="M11" s="71"/>
      <c r="N11" s="70"/>
      <c r="O11" s="70"/>
      <c r="P11" s="70"/>
      <c r="Q11" s="70"/>
      <c r="R11" s="70"/>
      <c r="S11" s="70"/>
      <c r="T11" s="70"/>
      <c r="U11" s="70"/>
      <c r="V11" s="70"/>
      <c r="W11" s="71"/>
      <c r="X11" s="70"/>
      <c r="Y11" s="70"/>
      <c r="Z11" s="70"/>
      <c r="AA11" s="70"/>
      <c r="AB11" s="70"/>
      <c r="AC11" s="70"/>
      <c r="AD11" s="70"/>
      <c r="AE11" s="70"/>
      <c r="AF11" s="70"/>
      <c r="AG11" s="70"/>
      <c r="AH11" s="70"/>
      <c r="AI11" s="70"/>
      <c r="AJ11" s="70"/>
      <c r="AK11" s="70"/>
      <c r="AL11" s="70"/>
      <c r="AM11" s="70"/>
      <c r="AN11" s="70"/>
      <c r="AO11" s="70"/>
      <c r="AP11" s="70"/>
      <c r="AQ11" s="71"/>
      <c r="AR11" s="70"/>
      <c r="AS11" s="70"/>
      <c r="AT11" s="70"/>
      <c r="AU11" s="70"/>
      <c r="AV11" s="70"/>
      <c r="AW11" s="70"/>
      <c r="AX11" s="70"/>
      <c r="AY11" s="70"/>
      <c r="AZ11" s="70"/>
      <c r="BA11" s="71"/>
    </row>
    <row r="12" spans="1:53" ht="20.100000000000001" customHeight="1">
      <c r="A12" s="72"/>
      <c r="B12" s="72"/>
      <c r="C12" s="72"/>
      <c r="D12" s="70"/>
      <c r="E12" s="70"/>
      <c r="F12" s="70"/>
      <c r="G12" s="70"/>
      <c r="H12" s="70"/>
      <c r="I12" s="70"/>
      <c r="J12" s="70"/>
      <c r="K12" s="70"/>
      <c r="L12" s="70"/>
      <c r="M12" s="71"/>
      <c r="N12" s="70"/>
      <c r="O12" s="70"/>
      <c r="P12" s="70"/>
      <c r="Q12" s="70"/>
      <c r="R12" s="70"/>
      <c r="S12" s="70"/>
      <c r="T12" s="70"/>
      <c r="U12" s="70"/>
      <c r="V12" s="70"/>
      <c r="W12" s="71"/>
      <c r="X12" s="70"/>
      <c r="Y12" s="70"/>
      <c r="Z12" s="70"/>
      <c r="AA12" s="70"/>
      <c r="AB12" s="70"/>
      <c r="AC12" s="70"/>
      <c r="AD12" s="70"/>
      <c r="AE12" s="70"/>
      <c r="AF12" s="70"/>
      <c r="AG12" s="70"/>
      <c r="AH12" s="70"/>
      <c r="AI12" s="70"/>
      <c r="AJ12" s="70"/>
      <c r="AK12" s="70"/>
      <c r="AL12" s="70"/>
      <c r="AM12" s="70"/>
      <c r="AN12" s="70"/>
      <c r="AO12" s="70"/>
      <c r="AP12" s="70"/>
      <c r="AQ12" s="71"/>
      <c r="AR12" s="70"/>
      <c r="AS12" s="70"/>
      <c r="AT12" s="70"/>
      <c r="AU12" s="70"/>
      <c r="AV12" s="70"/>
      <c r="AW12" s="70"/>
      <c r="AX12" s="70"/>
      <c r="AY12" s="70"/>
      <c r="AZ12" s="70"/>
      <c r="BA12" s="71"/>
    </row>
    <row r="13" spans="1:53" ht="20.100000000000001" customHeight="1">
      <c r="A13" s="69"/>
      <c r="B13" s="69"/>
      <c r="C13" s="69"/>
      <c r="D13" s="70"/>
      <c r="E13" s="70"/>
      <c r="F13" s="70"/>
      <c r="G13" s="70"/>
      <c r="H13" s="70"/>
      <c r="I13" s="70"/>
      <c r="J13" s="70"/>
      <c r="K13" s="70"/>
      <c r="L13" s="70"/>
      <c r="M13" s="71"/>
      <c r="N13" s="70"/>
      <c r="O13" s="70"/>
      <c r="P13" s="70"/>
      <c r="Q13" s="70"/>
      <c r="R13" s="70"/>
      <c r="S13" s="70"/>
      <c r="T13" s="70"/>
      <c r="U13" s="70"/>
      <c r="V13" s="70"/>
      <c r="W13" s="71"/>
      <c r="X13" s="70"/>
      <c r="Y13" s="70"/>
      <c r="Z13" s="70"/>
      <c r="AA13" s="70"/>
      <c r="AB13" s="70"/>
      <c r="AC13" s="70"/>
      <c r="AD13" s="70"/>
      <c r="AE13" s="70"/>
      <c r="AF13" s="70"/>
      <c r="AG13" s="70"/>
      <c r="AH13" s="70"/>
      <c r="AI13" s="70"/>
      <c r="AJ13" s="70"/>
      <c r="AK13" s="70"/>
      <c r="AL13" s="70"/>
      <c r="AM13" s="70"/>
      <c r="AN13" s="70"/>
      <c r="AO13" s="70"/>
      <c r="AP13" s="70"/>
      <c r="AQ13" s="71"/>
      <c r="AR13" s="70"/>
      <c r="AS13" s="70"/>
      <c r="AT13" s="70"/>
      <c r="AU13" s="70"/>
      <c r="AV13" s="70"/>
      <c r="AW13" s="70"/>
      <c r="AX13" s="70"/>
      <c r="AY13" s="70"/>
      <c r="AZ13" s="70"/>
      <c r="BA13" s="71"/>
    </row>
    <row r="14" spans="1:53" ht="20.100000000000001" customHeight="1">
      <c r="A14" s="72"/>
      <c r="B14" s="72"/>
      <c r="C14" s="72"/>
      <c r="D14" s="70"/>
      <c r="E14" s="70"/>
      <c r="F14" s="70"/>
      <c r="G14" s="70"/>
      <c r="H14" s="70"/>
      <c r="I14" s="70"/>
      <c r="J14" s="70"/>
      <c r="K14" s="70"/>
      <c r="L14" s="70"/>
      <c r="M14" s="71"/>
      <c r="N14" s="70"/>
      <c r="O14" s="70"/>
      <c r="P14" s="70"/>
      <c r="Q14" s="70"/>
      <c r="R14" s="70"/>
      <c r="S14" s="70"/>
      <c r="T14" s="70"/>
      <c r="U14" s="70"/>
      <c r="V14" s="70"/>
      <c r="W14" s="71"/>
      <c r="X14" s="70"/>
      <c r="Y14" s="70"/>
      <c r="Z14" s="70"/>
      <c r="AA14" s="70"/>
      <c r="AB14" s="70"/>
      <c r="AC14" s="70"/>
      <c r="AD14" s="70"/>
      <c r="AE14" s="70"/>
      <c r="AF14" s="70"/>
      <c r="AG14" s="70"/>
      <c r="AH14" s="70"/>
      <c r="AI14" s="70"/>
      <c r="AJ14" s="70"/>
      <c r="AK14" s="70"/>
      <c r="AL14" s="70"/>
      <c r="AM14" s="70"/>
      <c r="AN14" s="70"/>
      <c r="AO14" s="70"/>
      <c r="AP14" s="70"/>
      <c r="AQ14" s="71"/>
      <c r="AR14" s="70"/>
      <c r="AS14" s="70"/>
      <c r="AT14" s="70"/>
      <c r="AU14" s="70"/>
      <c r="AV14" s="70"/>
      <c r="AW14" s="70"/>
      <c r="AX14" s="70"/>
      <c r="AY14" s="70"/>
      <c r="AZ14" s="70"/>
      <c r="BA14" s="71"/>
    </row>
    <row r="15" spans="1:53" ht="20.100000000000001" customHeight="1">
      <c r="A15" s="69"/>
      <c r="B15" s="69"/>
      <c r="C15" s="69"/>
      <c r="D15" s="70"/>
      <c r="E15" s="70"/>
      <c r="F15" s="70"/>
      <c r="G15" s="70"/>
      <c r="H15" s="70"/>
      <c r="I15" s="70"/>
      <c r="J15" s="70"/>
      <c r="K15" s="70"/>
      <c r="L15" s="70"/>
      <c r="M15" s="71"/>
      <c r="N15" s="70"/>
      <c r="O15" s="70"/>
      <c r="P15" s="70"/>
      <c r="Q15" s="70"/>
      <c r="R15" s="70"/>
      <c r="S15" s="70"/>
      <c r="T15" s="70"/>
      <c r="U15" s="70"/>
      <c r="V15" s="70"/>
      <c r="W15" s="71"/>
      <c r="X15" s="70"/>
      <c r="Y15" s="70"/>
      <c r="Z15" s="70"/>
      <c r="AA15" s="70"/>
      <c r="AB15" s="70"/>
      <c r="AC15" s="70"/>
      <c r="AD15" s="70"/>
      <c r="AE15" s="70"/>
      <c r="AF15" s="70"/>
      <c r="AG15" s="70"/>
      <c r="AH15" s="70"/>
      <c r="AI15" s="70"/>
      <c r="AJ15" s="70"/>
      <c r="AK15" s="70"/>
      <c r="AL15" s="70"/>
      <c r="AM15" s="70"/>
      <c r="AN15" s="70"/>
      <c r="AO15" s="70"/>
      <c r="AP15" s="70"/>
      <c r="AQ15" s="71"/>
      <c r="AR15" s="70"/>
      <c r="AS15" s="70"/>
      <c r="AT15" s="70"/>
      <c r="AU15" s="70"/>
      <c r="AV15" s="70"/>
      <c r="AW15" s="70"/>
      <c r="AX15" s="70"/>
      <c r="AY15" s="70"/>
      <c r="AZ15" s="70"/>
      <c r="BA15" s="71"/>
    </row>
    <row r="16" spans="1:53" ht="20.100000000000001" customHeight="1">
      <c r="A16" s="72"/>
      <c r="B16" s="72"/>
      <c r="C16" s="72"/>
      <c r="D16" s="70"/>
      <c r="E16" s="70"/>
      <c r="F16" s="70"/>
      <c r="G16" s="70"/>
      <c r="H16" s="70"/>
      <c r="I16" s="70"/>
      <c r="J16" s="70"/>
      <c r="K16" s="70"/>
      <c r="L16" s="70"/>
      <c r="M16" s="71"/>
      <c r="N16" s="70"/>
      <c r="O16" s="70"/>
      <c r="P16" s="70"/>
      <c r="Q16" s="70"/>
      <c r="R16" s="70"/>
      <c r="S16" s="70"/>
      <c r="T16" s="70"/>
      <c r="U16" s="70"/>
      <c r="V16" s="70"/>
      <c r="W16" s="71"/>
      <c r="X16" s="70"/>
      <c r="Y16" s="70"/>
      <c r="Z16" s="70"/>
      <c r="AA16" s="70"/>
      <c r="AB16" s="70"/>
      <c r="AC16" s="70"/>
      <c r="AD16" s="70"/>
      <c r="AE16" s="70"/>
      <c r="AF16" s="70"/>
      <c r="AG16" s="70"/>
      <c r="AH16" s="70"/>
      <c r="AI16" s="70"/>
      <c r="AJ16" s="70"/>
      <c r="AK16" s="70"/>
      <c r="AL16" s="70"/>
      <c r="AM16" s="70"/>
      <c r="AN16" s="70"/>
      <c r="AO16" s="70"/>
      <c r="AP16" s="70"/>
      <c r="AQ16" s="71"/>
      <c r="AR16" s="70"/>
      <c r="AS16" s="70"/>
      <c r="AT16" s="70"/>
      <c r="AU16" s="70"/>
      <c r="AV16" s="70"/>
      <c r="AW16" s="70"/>
      <c r="AX16" s="70"/>
      <c r="AY16" s="70"/>
      <c r="AZ16" s="70"/>
      <c r="BA16" s="71"/>
    </row>
    <row r="17" spans="1:53" ht="20.100000000000001" customHeight="1">
      <c r="A17" s="69"/>
      <c r="B17" s="69"/>
      <c r="C17" s="69"/>
      <c r="D17" s="70"/>
      <c r="E17" s="70"/>
      <c r="F17" s="70"/>
      <c r="G17" s="70"/>
      <c r="H17" s="70"/>
      <c r="I17" s="70"/>
      <c r="J17" s="70"/>
      <c r="K17" s="70"/>
      <c r="L17" s="70"/>
      <c r="M17" s="71"/>
      <c r="N17" s="70"/>
      <c r="O17" s="70"/>
      <c r="P17" s="70"/>
      <c r="Q17" s="70"/>
      <c r="R17" s="70"/>
      <c r="S17" s="70"/>
      <c r="T17" s="70"/>
      <c r="U17" s="70"/>
      <c r="V17" s="70"/>
      <c r="W17" s="71"/>
      <c r="X17" s="70"/>
      <c r="Y17" s="70"/>
      <c r="Z17" s="70"/>
      <c r="AA17" s="70"/>
      <c r="AB17" s="70"/>
      <c r="AC17" s="70"/>
      <c r="AD17" s="70"/>
      <c r="AE17" s="70"/>
      <c r="AF17" s="70"/>
      <c r="AG17" s="70"/>
      <c r="AH17" s="70"/>
      <c r="AI17" s="70"/>
      <c r="AJ17" s="70"/>
      <c r="AK17" s="70"/>
      <c r="AL17" s="70"/>
      <c r="AM17" s="70"/>
      <c r="AN17" s="70"/>
      <c r="AO17" s="70"/>
      <c r="AP17" s="70"/>
      <c r="AQ17" s="71"/>
      <c r="AR17" s="70"/>
      <c r="AS17" s="70"/>
      <c r="AT17" s="70"/>
      <c r="AU17" s="70"/>
      <c r="AV17" s="70"/>
      <c r="AW17" s="70"/>
      <c r="AX17" s="70"/>
      <c r="AY17" s="70"/>
      <c r="AZ17" s="70"/>
      <c r="BA17" s="71"/>
    </row>
    <row r="18" spans="1:53" ht="20.100000000000001" customHeight="1">
      <c r="A18" s="72"/>
      <c r="B18" s="72"/>
      <c r="C18" s="72"/>
      <c r="D18" s="70"/>
      <c r="E18" s="70"/>
      <c r="F18" s="70"/>
      <c r="G18" s="70"/>
      <c r="H18" s="70"/>
      <c r="I18" s="70"/>
      <c r="J18" s="70"/>
      <c r="K18" s="70"/>
      <c r="L18" s="70"/>
      <c r="M18" s="71"/>
      <c r="N18" s="70"/>
      <c r="O18" s="70"/>
      <c r="P18" s="70"/>
      <c r="Q18" s="70"/>
      <c r="R18" s="70"/>
      <c r="S18" s="70"/>
      <c r="T18" s="70"/>
      <c r="U18" s="70"/>
      <c r="V18" s="70"/>
      <c r="W18" s="71"/>
      <c r="X18" s="70"/>
      <c r="Y18" s="70"/>
      <c r="Z18" s="70"/>
      <c r="AA18" s="70"/>
      <c r="AB18" s="70"/>
      <c r="AC18" s="70"/>
      <c r="AD18" s="70"/>
      <c r="AE18" s="70"/>
      <c r="AF18" s="70"/>
      <c r="AG18" s="70"/>
      <c r="AH18" s="70"/>
      <c r="AI18" s="70"/>
      <c r="AJ18" s="70"/>
      <c r="AK18" s="70"/>
      <c r="AL18" s="70"/>
      <c r="AM18" s="70"/>
      <c r="AN18" s="70"/>
      <c r="AO18" s="70"/>
      <c r="AP18" s="70"/>
      <c r="AQ18" s="71"/>
      <c r="AR18" s="70"/>
      <c r="AS18" s="70"/>
      <c r="AT18" s="70"/>
      <c r="AU18" s="70"/>
      <c r="AV18" s="70"/>
      <c r="AW18" s="70"/>
      <c r="AX18" s="70"/>
      <c r="AY18" s="70"/>
      <c r="AZ18" s="70"/>
      <c r="BA18" s="71"/>
    </row>
    <row r="19" spans="1:53" ht="20.100000000000001" customHeight="1">
      <c r="A19" s="69"/>
      <c r="B19" s="69"/>
      <c r="C19" s="69"/>
      <c r="D19" s="70"/>
      <c r="E19" s="70"/>
      <c r="F19" s="70"/>
      <c r="G19" s="70"/>
      <c r="H19" s="70"/>
      <c r="I19" s="70"/>
      <c r="J19" s="70"/>
      <c r="K19" s="70"/>
      <c r="L19" s="70"/>
      <c r="M19" s="71"/>
      <c r="N19" s="70"/>
      <c r="O19" s="70"/>
      <c r="P19" s="70"/>
      <c r="Q19" s="70"/>
      <c r="R19" s="70"/>
      <c r="S19" s="70"/>
      <c r="T19" s="70"/>
      <c r="U19" s="70"/>
      <c r="V19" s="70"/>
      <c r="W19" s="71"/>
      <c r="X19" s="70"/>
      <c r="Y19" s="70"/>
      <c r="Z19" s="70"/>
      <c r="AA19" s="70"/>
      <c r="AB19" s="70"/>
      <c r="AC19" s="70"/>
      <c r="AD19" s="70"/>
      <c r="AE19" s="70"/>
      <c r="AF19" s="70"/>
      <c r="AG19" s="70"/>
      <c r="AH19" s="70"/>
      <c r="AI19" s="70"/>
      <c r="AJ19" s="70"/>
      <c r="AK19" s="70"/>
      <c r="AL19" s="70"/>
      <c r="AM19" s="70"/>
      <c r="AN19" s="70"/>
      <c r="AO19" s="70"/>
      <c r="AP19" s="70"/>
      <c r="AQ19" s="71"/>
      <c r="AR19" s="70"/>
      <c r="AS19" s="70"/>
      <c r="AT19" s="70"/>
      <c r="AU19" s="70"/>
      <c r="AV19" s="70"/>
      <c r="AW19" s="70"/>
      <c r="AX19" s="70"/>
      <c r="AY19" s="70"/>
      <c r="AZ19" s="70"/>
      <c r="BA19" s="71"/>
    </row>
    <row r="20" spans="1:53" ht="20.100000000000001" customHeight="1">
      <c r="A20" s="72"/>
      <c r="B20" s="72"/>
      <c r="C20" s="72"/>
      <c r="D20" s="70"/>
      <c r="E20" s="70"/>
      <c r="F20" s="70"/>
      <c r="G20" s="70"/>
      <c r="H20" s="70"/>
      <c r="I20" s="70"/>
      <c r="J20" s="70"/>
      <c r="K20" s="70"/>
      <c r="L20" s="70"/>
      <c r="M20" s="71"/>
      <c r="N20" s="70"/>
      <c r="O20" s="70"/>
      <c r="P20" s="70"/>
      <c r="Q20" s="70"/>
      <c r="R20" s="70"/>
      <c r="S20" s="70"/>
      <c r="T20" s="70"/>
      <c r="U20" s="70"/>
      <c r="V20" s="70"/>
      <c r="W20" s="71"/>
      <c r="X20" s="70"/>
      <c r="Y20" s="70"/>
      <c r="Z20" s="70"/>
      <c r="AA20" s="70"/>
      <c r="AB20" s="70"/>
      <c r="AC20" s="70"/>
      <c r="AD20" s="70"/>
      <c r="AE20" s="70"/>
      <c r="AF20" s="70"/>
      <c r="AG20" s="70"/>
      <c r="AH20" s="70"/>
      <c r="AI20" s="70"/>
      <c r="AJ20" s="70"/>
      <c r="AK20" s="70"/>
      <c r="AL20" s="70"/>
      <c r="AM20" s="70"/>
      <c r="AN20" s="70"/>
      <c r="AO20" s="70"/>
      <c r="AP20" s="70"/>
      <c r="AQ20" s="71"/>
      <c r="AR20" s="70"/>
      <c r="AS20" s="70"/>
      <c r="AT20" s="70"/>
      <c r="AU20" s="70"/>
      <c r="AV20" s="70"/>
      <c r="AW20" s="70"/>
      <c r="AX20" s="70"/>
      <c r="AY20" s="70"/>
      <c r="AZ20" s="70"/>
      <c r="BA20" s="71"/>
    </row>
    <row r="21" spans="1:53" ht="20.100000000000001" customHeight="1">
      <c r="A21" s="69"/>
      <c r="B21" s="69"/>
      <c r="C21" s="69"/>
      <c r="D21" s="70"/>
      <c r="E21" s="70"/>
      <c r="F21" s="70"/>
      <c r="G21" s="70"/>
      <c r="H21" s="70"/>
      <c r="I21" s="70"/>
      <c r="J21" s="70"/>
      <c r="K21" s="70"/>
      <c r="L21" s="70"/>
      <c r="M21" s="71"/>
      <c r="N21" s="70"/>
      <c r="O21" s="70"/>
      <c r="P21" s="70"/>
      <c r="Q21" s="70"/>
      <c r="R21" s="70"/>
      <c r="S21" s="70"/>
      <c r="T21" s="70"/>
      <c r="U21" s="70"/>
      <c r="V21" s="70"/>
      <c r="W21" s="71"/>
      <c r="X21" s="70"/>
      <c r="Y21" s="70"/>
      <c r="Z21" s="70"/>
      <c r="AA21" s="70"/>
      <c r="AB21" s="70"/>
      <c r="AC21" s="70"/>
      <c r="AD21" s="70"/>
      <c r="AE21" s="70"/>
      <c r="AF21" s="70"/>
      <c r="AG21" s="70"/>
      <c r="AH21" s="70"/>
      <c r="AI21" s="70"/>
      <c r="AJ21" s="70"/>
      <c r="AK21" s="70"/>
      <c r="AL21" s="70"/>
      <c r="AM21" s="70"/>
      <c r="AN21" s="70"/>
      <c r="AO21" s="70"/>
      <c r="AP21" s="70"/>
      <c r="AQ21" s="71"/>
      <c r="AR21" s="70"/>
      <c r="AS21" s="70"/>
      <c r="AT21" s="70"/>
      <c r="AU21" s="70"/>
      <c r="AV21" s="70"/>
      <c r="AW21" s="70"/>
      <c r="AX21" s="70"/>
      <c r="AY21" s="70"/>
      <c r="AZ21" s="70"/>
      <c r="BA21" s="71"/>
    </row>
    <row r="22" spans="1:53" ht="20.100000000000001" customHeight="1">
      <c r="A22" s="72"/>
      <c r="B22" s="72"/>
      <c r="C22" s="72"/>
      <c r="D22" s="70"/>
      <c r="E22" s="70"/>
      <c r="F22" s="70"/>
      <c r="G22" s="70"/>
      <c r="H22" s="70"/>
      <c r="I22" s="70"/>
      <c r="J22" s="70"/>
      <c r="K22" s="70"/>
      <c r="L22" s="70"/>
      <c r="M22" s="71"/>
      <c r="N22" s="70"/>
      <c r="O22" s="70"/>
      <c r="P22" s="70"/>
      <c r="Q22" s="70"/>
      <c r="R22" s="70"/>
      <c r="S22" s="70"/>
      <c r="T22" s="70"/>
      <c r="U22" s="70"/>
      <c r="V22" s="70"/>
      <c r="W22" s="71"/>
      <c r="X22" s="70"/>
      <c r="Y22" s="70"/>
      <c r="Z22" s="70"/>
      <c r="AA22" s="70"/>
      <c r="AB22" s="70"/>
      <c r="AC22" s="70"/>
      <c r="AD22" s="70"/>
      <c r="AE22" s="70"/>
      <c r="AF22" s="70"/>
      <c r="AG22" s="70"/>
      <c r="AH22" s="70"/>
      <c r="AI22" s="70"/>
      <c r="AJ22" s="70"/>
      <c r="AK22" s="70"/>
      <c r="AL22" s="70"/>
      <c r="AM22" s="70"/>
      <c r="AN22" s="70"/>
      <c r="AO22" s="70"/>
      <c r="AP22" s="70"/>
      <c r="AQ22" s="71"/>
      <c r="AR22" s="70"/>
      <c r="AS22" s="70"/>
      <c r="AT22" s="70"/>
      <c r="AU22" s="70"/>
      <c r="AV22" s="70"/>
      <c r="AW22" s="70"/>
      <c r="AX22" s="70"/>
      <c r="AY22" s="70"/>
      <c r="AZ22" s="70"/>
      <c r="BA22" s="71"/>
    </row>
    <row r="23" spans="1:53" ht="20.100000000000001" customHeight="1">
      <c r="A23" s="69"/>
      <c r="B23" s="69"/>
      <c r="C23" s="69"/>
      <c r="D23" s="70"/>
      <c r="E23" s="70"/>
      <c r="F23" s="70"/>
      <c r="G23" s="70"/>
      <c r="H23" s="70"/>
      <c r="I23" s="70"/>
      <c r="J23" s="70"/>
      <c r="K23" s="70"/>
      <c r="L23" s="70"/>
      <c r="M23" s="71"/>
      <c r="N23" s="70"/>
      <c r="O23" s="70"/>
      <c r="P23" s="70"/>
      <c r="Q23" s="70"/>
      <c r="R23" s="70"/>
      <c r="S23" s="70"/>
      <c r="T23" s="70"/>
      <c r="U23" s="70"/>
      <c r="V23" s="70"/>
      <c r="W23" s="71"/>
      <c r="X23" s="70"/>
      <c r="Y23" s="70"/>
      <c r="Z23" s="70"/>
      <c r="AA23" s="70"/>
      <c r="AB23" s="70"/>
      <c r="AC23" s="70"/>
      <c r="AD23" s="70"/>
      <c r="AE23" s="70"/>
      <c r="AF23" s="70"/>
      <c r="AG23" s="70"/>
      <c r="AH23" s="70"/>
      <c r="AI23" s="70"/>
      <c r="AJ23" s="70"/>
      <c r="AK23" s="70"/>
      <c r="AL23" s="70"/>
      <c r="AM23" s="70"/>
      <c r="AN23" s="70"/>
      <c r="AO23" s="70"/>
      <c r="AP23" s="70"/>
      <c r="AQ23" s="71"/>
      <c r="AR23" s="70"/>
      <c r="AS23" s="70"/>
      <c r="AT23" s="70"/>
      <c r="AU23" s="70"/>
      <c r="AV23" s="70"/>
      <c r="AW23" s="70"/>
      <c r="AX23" s="70"/>
      <c r="AY23" s="70"/>
      <c r="AZ23" s="70"/>
      <c r="BA23" s="71"/>
    </row>
    <row r="24" spans="1:53" ht="20.100000000000001" customHeight="1">
      <c r="A24" s="72"/>
      <c r="B24" s="72"/>
      <c r="C24" s="72"/>
      <c r="D24" s="70"/>
      <c r="E24" s="70"/>
      <c r="F24" s="70"/>
      <c r="G24" s="70"/>
      <c r="H24" s="70"/>
      <c r="I24" s="70"/>
      <c r="J24" s="70"/>
      <c r="K24" s="70"/>
      <c r="L24" s="70"/>
      <c r="M24" s="71"/>
      <c r="N24" s="70"/>
      <c r="O24" s="70"/>
      <c r="P24" s="70"/>
      <c r="Q24" s="70"/>
      <c r="R24" s="70"/>
      <c r="S24" s="70"/>
      <c r="T24" s="70"/>
      <c r="U24" s="70"/>
      <c r="V24" s="70"/>
      <c r="W24" s="71"/>
      <c r="X24" s="70"/>
      <c r="Y24" s="70"/>
      <c r="Z24" s="70"/>
      <c r="AA24" s="70"/>
      <c r="AB24" s="70"/>
      <c r="AC24" s="70"/>
      <c r="AD24" s="70"/>
      <c r="AE24" s="70"/>
      <c r="AF24" s="70"/>
      <c r="AG24" s="70"/>
      <c r="AH24" s="70"/>
      <c r="AI24" s="70"/>
      <c r="AJ24" s="70"/>
      <c r="AK24" s="70"/>
      <c r="AL24" s="70"/>
      <c r="AM24" s="70"/>
      <c r="AN24" s="70"/>
      <c r="AO24" s="70"/>
      <c r="AP24" s="70"/>
      <c r="AQ24" s="71"/>
      <c r="AR24" s="70"/>
      <c r="AS24" s="70"/>
      <c r="AT24" s="70"/>
      <c r="AU24" s="70"/>
      <c r="AV24" s="70"/>
      <c r="AW24" s="70"/>
      <c r="AX24" s="70"/>
      <c r="AY24" s="70"/>
      <c r="AZ24" s="70"/>
      <c r="BA24" s="71"/>
    </row>
    <row r="25" spans="1:53" ht="20.100000000000001" customHeight="1">
      <c r="A25" s="69"/>
      <c r="B25" s="69"/>
      <c r="C25" s="69"/>
      <c r="D25" s="70"/>
      <c r="E25" s="70"/>
      <c r="F25" s="70"/>
      <c r="G25" s="70"/>
      <c r="H25" s="70"/>
      <c r="I25" s="70"/>
      <c r="J25" s="70"/>
      <c r="K25" s="70"/>
      <c r="L25" s="70"/>
      <c r="M25" s="71"/>
      <c r="N25" s="70"/>
      <c r="O25" s="70"/>
      <c r="P25" s="70"/>
      <c r="Q25" s="70"/>
      <c r="R25" s="70"/>
      <c r="S25" s="70"/>
      <c r="T25" s="70"/>
      <c r="U25" s="70"/>
      <c r="V25" s="70"/>
      <c r="W25" s="71"/>
      <c r="X25" s="70"/>
      <c r="Y25" s="70"/>
      <c r="Z25" s="70"/>
      <c r="AA25" s="70"/>
      <c r="AB25" s="70"/>
      <c r="AC25" s="70"/>
      <c r="AD25" s="70"/>
      <c r="AE25" s="70"/>
      <c r="AF25" s="70"/>
      <c r="AG25" s="70"/>
      <c r="AH25" s="70"/>
      <c r="AI25" s="70"/>
      <c r="AJ25" s="70"/>
      <c r="AK25" s="70"/>
      <c r="AL25" s="70"/>
      <c r="AM25" s="70"/>
      <c r="AN25" s="70"/>
      <c r="AO25" s="70"/>
      <c r="AP25" s="70"/>
      <c r="AQ25" s="71"/>
      <c r="AR25" s="70"/>
      <c r="AS25" s="70"/>
      <c r="AT25" s="70"/>
      <c r="AU25" s="70"/>
      <c r="AV25" s="70"/>
      <c r="AW25" s="70"/>
      <c r="AX25" s="70"/>
      <c r="AY25" s="70"/>
      <c r="AZ25" s="70"/>
      <c r="BA25" s="71"/>
    </row>
    <row r="26" spans="1:53" ht="20.100000000000001" customHeight="1">
      <c r="A26" s="72"/>
      <c r="B26" s="72"/>
      <c r="C26" s="72"/>
      <c r="D26" s="70"/>
      <c r="E26" s="70"/>
      <c r="F26" s="70"/>
      <c r="G26" s="70"/>
      <c r="H26" s="70"/>
      <c r="I26" s="70"/>
      <c r="J26" s="70"/>
      <c r="K26" s="70"/>
      <c r="L26" s="70"/>
      <c r="M26" s="71"/>
      <c r="N26" s="70"/>
      <c r="O26" s="70"/>
      <c r="P26" s="70"/>
      <c r="Q26" s="70"/>
      <c r="R26" s="70"/>
      <c r="S26" s="70"/>
      <c r="T26" s="70"/>
      <c r="U26" s="70"/>
      <c r="V26" s="70"/>
      <c r="W26" s="71"/>
      <c r="X26" s="70"/>
      <c r="Y26" s="70"/>
      <c r="Z26" s="70"/>
      <c r="AA26" s="70"/>
      <c r="AB26" s="70"/>
      <c r="AC26" s="70"/>
      <c r="AD26" s="70"/>
      <c r="AE26" s="70"/>
      <c r="AF26" s="70"/>
      <c r="AG26" s="70"/>
      <c r="AH26" s="70"/>
      <c r="AI26" s="70"/>
      <c r="AJ26" s="70"/>
      <c r="AK26" s="70"/>
      <c r="AL26" s="70"/>
      <c r="AM26" s="70"/>
      <c r="AN26" s="70"/>
      <c r="AO26" s="70"/>
      <c r="AP26" s="70"/>
      <c r="AQ26" s="71"/>
      <c r="AR26" s="70"/>
      <c r="AS26" s="70"/>
      <c r="AT26" s="70"/>
      <c r="AU26" s="70"/>
      <c r="AV26" s="70"/>
      <c r="AW26" s="70"/>
      <c r="AX26" s="70"/>
      <c r="AY26" s="70"/>
      <c r="AZ26" s="70"/>
      <c r="BA26" s="71"/>
    </row>
    <row r="27" spans="1:53" ht="20.100000000000001" customHeight="1">
      <c r="A27" s="69"/>
      <c r="B27" s="69"/>
      <c r="C27" s="69"/>
      <c r="D27" s="70"/>
      <c r="E27" s="70"/>
      <c r="F27" s="70"/>
      <c r="G27" s="70"/>
      <c r="H27" s="70"/>
      <c r="I27" s="70"/>
      <c r="J27" s="70"/>
      <c r="K27" s="70"/>
      <c r="L27" s="70"/>
      <c r="M27" s="71"/>
      <c r="N27" s="70"/>
      <c r="O27" s="70"/>
      <c r="P27" s="70"/>
      <c r="Q27" s="70"/>
      <c r="R27" s="70"/>
      <c r="S27" s="70"/>
      <c r="T27" s="70"/>
      <c r="U27" s="70"/>
      <c r="V27" s="70"/>
      <c r="W27" s="71"/>
      <c r="X27" s="70"/>
      <c r="Y27" s="70"/>
      <c r="Z27" s="70"/>
      <c r="AA27" s="70"/>
      <c r="AB27" s="70"/>
      <c r="AC27" s="70"/>
      <c r="AD27" s="70"/>
      <c r="AE27" s="70"/>
      <c r="AF27" s="70"/>
      <c r="AG27" s="70"/>
      <c r="AH27" s="70"/>
      <c r="AI27" s="70"/>
      <c r="AJ27" s="70"/>
      <c r="AK27" s="70"/>
      <c r="AL27" s="70"/>
      <c r="AM27" s="70"/>
      <c r="AN27" s="70"/>
      <c r="AO27" s="70"/>
      <c r="AP27" s="70"/>
      <c r="AQ27" s="71"/>
      <c r="AR27" s="70"/>
      <c r="AS27" s="70"/>
      <c r="AT27" s="70"/>
      <c r="AU27" s="70"/>
      <c r="AV27" s="70"/>
      <c r="AW27" s="70"/>
      <c r="AX27" s="70"/>
      <c r="AY27" s="70"/>
      <c r="AZ27" s="70"/>
      <c r="BA27" s="71"/>
    </row>
    <row r="28" spans="1:53" ht="20.100000000000001" customHeight="1">
      <c r="A28" s="72"/>
      <c r="B28" s="72"/>
      <c r="C28" s="72"/>
      <c r="D28" s="70"/>
      <c r="E28" s="70"/>
      <c r="F28" s="70"/>
      <c r="G28" s="70"/>
      <c r="H28" s="70"/>
      <c r="I28" s="70"/>
      <c r="J28" s="70"/>
      <c r="K28" s="70"/>
      <c r="L28" s="70"/>
      <c r="M28" s="71"/>
      <c r="N28" s="70"/>
      <c r="O28" s="70"/>
      <c r="P28" s="70"/>
      <c r="Q28" s="70"/>
      <c r="R28" s="70"/>
      <c r="S28" s="70"/>
      <c r="T28" s="70"/>
      <c r="U28" s="70"/>
      <c r="V28" s="70"/>
      <c r="W28" s="71"/>
      <c r="X28" s="70"/>
      <c r="Y28" s="70"/>
      <c r="Z28" s="70"/>
      <c r="AA28" s="70"/>
      <c r="AB28" s="70"/>
      <c r="AC28" s="70"/>
      <c r="AD28" s="70"/>
      <c r="AE28" s="70"/>
      <c r="AF28" s="70"/>
      <c r="AG28" s="70"/>
      <c r="AH28" s="70"/>
      <c r="AI28" s="70"/>
      <c r="AJ28" s="70"/>
      <c r="AK28" s="70"/>
      <c r="AL28" s="70"/>
      <c r="AM28" s="70"/>
      <c r="AN28" s="70"/>
      <c r="AO28" s="70"/>
      <c r="AP28" s="70"/>
      <c r="AQ28" s="71"/>
      <c r="AR28" s="70"/>
      <c r="AS28" s="70"/>
      <c r="AT28" s="70"/>
      <c r="AU28" s="70"/>
      <c r="AV28" s="70"/>
      <c r="AW28" s="70"/>
      <c r="AX28" s="70"/>
      <c r="AY28" s="70"/>
      <c r="AZ28" s="70"/>
      <c r="BA28" s="71"/>
    </row>
    <row r="29" spans="1:53" ht="20.100000000000001" customHeight="1">
      <c r="A29" s="69"/>
      <c r="B29" s="69"/>
      <c r="C29" s="69"/>
      <c r="D29" s="70"/>
      <c r="E29" s="70"/>
      <c r="F29" s="70"/>
      <c r="G29" s="70"/>
      <c r="H29" s="70"/>
      <c r="I29" s="70"/>
      <c r="J29" s="70"/>
      <c r="K29" s="70"/>
      <c r="L29" s="70"/>
      <c r="M29" s="71"/>
      <c r="N29" s="70"/>
      <c r="O29" s="70"/>
      <c r="P29" s="70"/>
      <c r="Q29" s="70"/>
      <c r="R29" s="70"/>
      <c r="S29" s="70"/>
      <c r="T29" s="70"/>
      <c r="U29" s="70"/>
      <c r="V29" s="70"/>
      <c r="W29" s="71"/>
      <c r="X29" s="70"/>
      <c r="Y29" s="70"/>
      <c r="Z29" s="70"/>
      <c r="AA29" s="70"/>
      <c r="AB29" s="70"/>
      <c r="AC29" s="70"/>
      <c r="AD29" s="70"/>
      <c r="AE29" s="70"/>
      <c r="AF29" s="70"/>
      <c r="AG29" s="70"/>
      <c r="AH29" s="70"/>
      <c r="AI29" s="70"/>
      <c r="AJ29" s="70"/>
      <c r="AK29" s="70"/>
      <c r="AL29" s="70"/>
      <c r="AM29" s="70"/>
      <c r="AN29" s="70"/>
      <c r="AO29" s="70"/>
      <c r="AP29" s="70"/>
      <c r="AQ29" s="71"/>
      <c r="AR29" s="70"/>
      <c r="AS29" s="70"/>
      <c r="AT29" s="70"/>
      <c r="AU29" s="70"/>
      <c r="AV29" s="70"/>
      <c r="AW29" s="70"/>
      <c r="AX29" s="70"/>
      <c r="AY29" s="70"/>
      <c r="AZ29" s="70"/>
      <c r="BA29" s="71"/>
    </row>
    <row r="30" spans="1:53" ht="20.100000000000001" customHeight="1">
      <c r="A30" s="72"/>
      <c r="B30" s="72"/>
      <c r="C30" s="72"/>
      <c r="D30" s="70"/>
      <c r="E30" s="70"/>
      <c r="F30" s="70"/>
      <c r="G30" s="70"/>
      <c r="H30" s="70"/>
      <c r="I30" s="70"/>
      <c r="J30" s="70"/>
      <c r="K30" s="70"/>
      <c r="L30" s="70"/>
      <c r="M30" s="71"/>
      <c r="N30" s="70"/>
      <c r="O30" s="70"/>
      <c r="P30" s="70"/>
      <c r="Q30" s="70"/>
      <c r="R30" s="70"/>
      <c r="S30" s="70"/>
      <c r="T30" s="70"/>
      <c r="U30" s="70"/>
      <c r="V30" s="70"/>
      <c r="W30" s="71"/>
      <c r="X30" s="70"/>
      <c r="Y30" s="70"/>
      <c r="Z30" s="70"/>
      <c r="AA30" s="70"/>
      <c r="AB30" s="70"/>
      <c r="AC30" s="70"/>
      <c r="AD30" s="70"/>
      <c r="AE30" s="70"/>
      <c r="AF30" s="70"/>
      <c r="AG30" s="70"/>
      <c r="AH30" s="70"/>
      <c r="AI30" s="70"/>
      <c r="AJ30" s="70"/>
      <c r="AK30" s="70"/>
      <c r="AL30" s="70"/>
      <c r="AM30" s="70"/>
      <c r="AN30" s="70"/>
      <c r="AO30" s="70"/>
      <c r="AP30" s="70"/>
      <c r="AQ30" s="71"/>
      <c r="AR30" s="70"/>
      <c r="AS30" s="70"/>
      <c r="AT30" s="70"/>
      <c r="AU30" s="70"/>
      <c r="AV30" s="70"/>
      <c r="AW30" s="70"/>
      <c r="AX30" s="70"/>
      <c r="AY30" s="70"/>
      <c r="AZ30" s="70"/>
      <c r="BA30" s="71"/>
    </row>
    <row r="31" spans="1:53" ht="20.100000000000001" customHeight="1">
      <c r="A31" s="69"/>
      <c r="B31" s="69"/>
      <c r="C31" s="69"/>
      <c r="D31" s="70"/>
      <c r="E31" s="70"/>
      <c r="F31" s="70"/>
      <c r="G31" s="70"/>
      <c r="H31" s="70"/>
      <c r="I31" s="70"/>
      <c r="J31" s="70"/>
      <c r="K31" s="70"/>
      <c r="L31" s="70"/>
      <c r="M31" s="71"/>
      <c r="N31" s="70"/>
      <c r="O31" s="70"/>
      <c r="P31" s="70"/>
      <c r="Q31" s="70"/>
      <c r="R31" s="70"/>
      <c r="S31" s="70"/>
      <c r="T31" s="70"/>
      <c r="U31" s="70"/>
      <c r="V31" s="70"/>
      <c r="W31" s="71"/>
      <c r="X31" s="70"/>
      <c r="Y31" s="70"/>
      <c r="Z31" s="70"/>
      <c r="AA31" s="70"/>
      <c r="AB31" s="70"/>
      <c r="AC31" s="70"/>
      <c r="AD31" s="70"/>
      <c r="AE31" s="70"/>
      <c r="AF31" s="70"/>
      <c r="AG31" s="70"/>
      <c r="AH31" s="70"/>
      <c r="AI31" s="70"/>
      <c r="AJ31" s="70"/>
      <c r="AK31" s="70"/>
      <c r="AL31" s="70"/>
      <c r="AM31" s="70"/>
      <c r="AN31" s="70"/>
      <c r="AO31" s="70"/>
      <c r="AP31" s="70"/>
      <c r="AQ31" s="71"/>
      <c r="AR31" s="70"/>
      <c r="AS31" s="70"/>
      <c r="AT31" s="70"/>
      <c r="AU31" s="70"/>
      <c r="AV31" s="70"/>
      <c r="AW31" s="70"/>
      <c r="AX31" s="70"/>
      <c r="AY31" s="70"/>
      <c r="AZ31" s="70"/>
      <c r="BA31" s="71"/>
    </row>
    <row r="32" spans="1:53" ht="20.100000000000001" customHeight="1">
      <c r="A32" s="72"/>
      <c r="B32" s="72"/>
      <c r="C32" s="72"/>
      <c r="D32" s="70"/>
      <c r="E32" s="70"/>
      <c r="F32" s="70"/>
      <c r="G32" s="70"/>
      <c r="H32" s="70"/>
      <c r="I32" s="70"/>
      <c r="J32" s="70"/>
      <c r="K32" s="70"/>
      <c r="L32" s="70"/>
      <c r="M32" s="71"/>
      <c r="N32" s="70"/>
      <c r="O32" s="70"/>
      <c r="P32" s="70"/>
      <c r="Q32" s="70"/>
      <c r="R32" s="70"/>
      <c r="S32" s="70"/>
      <c r="T32" s="70"/>
      <c r="U32" s="70"/>
      <c r="V32" s="70"/>
      <c r="W32" s="71"/>
      <c r="X32" s="70"/>
      <c r="Y32" s="70"/>
      <c r="Z32" s="70"/>
      <c r="AA32" s="70"/>
      <c r="AB32" s="70"/>
      <c r="AC32" s="70"/>
      <c r="AD32" s="70"/>
      <c r="AE32" s="70"/>
      <c r="AF32" s="70"/>
      <c r="AG32" s="70"/>
      <c r="AH32" s="70"/>
      <c r="AI32" s="70"/>
      <c r="AJ32" s="70"/>
      <c r="AK32" s="70"/>
      <c r="AL32" s="70"/>
      <c r="AM32" s="70"/>
      <c r="AN32" s="70"/>
      <c r="AO32" s="70"/>
      <c r="AP32" s="70"/>
      <c r="AQ32" s="71"/>
      <c r="AR32" s="70"/>
      <c r="AS32" s="70"/>
      <c r="AT32" s="70"/>
      <c r="AU32" s="70"/>
      <c r="AV32" s="70"/>
      <c r="AW32" s="70"/>
      <c r="AX32" s="70"/>
      <c r="AY32" s="70"/>
      <c r="AZ32" s="70"/>
      <c r="BA32" s="71"/>
    </row>
    <row r="33" spans="1:53" ht="20.100000000000001" customHeight="1">
      <c r="A33" s="69"/>
      <c r="B33" s="69"/>
      <c r="C33" s="69"/>
      <c r="D33" s="70"/>
      <c r="E33" s="70"/>
      <c r="F33" s="70"/>
      <c r="G33" s="70"/>
      <c r="H33" s="70"/>
      <c r="I33" s="70"/>
      <c r="J33" s="70"/>
      <c r="K33" s="70"/>
      <c r="L33" s="70"/>
      <c r="M33" s="71"/>
      <c r="N33" s="70"/>
      <c r="O33" s="70"/>
      <c r="P33" s="70"/>
      <c r="Q33" s="70"/>
      <c r="R33" s="70"/>
      <c r="S33" s="70"/>
      <c r="T33" s="70"/>
      <c r="U33" s="70"/>
      <c r="V33" s="70"/>
      <c r="W33" s="71"/>
      <c r="X33" s="70"/>
      <c r="Y33" s="70"/>
      <c r="Z33" s="70"/>
      <c r="AA33" s="70"/>
      <c r="AB33" s="70"/>
      <c r="AC33" s="70"/>
      <c r="AD33" s="70"/>
      <c r="AE33" s="70"/>
      <c r="AF33" s="70"/>
      <c r="AG33" s="70"/>
      <c r="AH33" s="70"/>
      <c r="AI33" s="70"/>
      <c r="AJ33" s="70"/>
      <c r="AK33" s="70"/>
      <c r="AL33" s="70"/>
      <c r="AM33" s="70"/>
      <c r="AN33" s="70"/>
      <c r="AO33" s="70"/>
      <c r="AP33" s="70"/>
      <c r="AQ33" s="71"/>
      <c r="AR33" s="70"/>
      <c r="AS33" s="70"/>
      <c r="AT33" s="70"/>
      <c r="AU33" s="70"/>
      <c r="AV33" s="70"/>
      <c r="AW33" s="70"/>
      <c r="AX33" s="70"/>
      <c r="AY33" s="70"/>
      <c r="AZ33" s="70"/>
      <c r="BA33" s="71"/>
    </row>
    <row r="34" spans="1:53" ht="20.100000000000001" customHeight="1">
      <c r="A34" s="72"/>
      <c r="B34" s="72"/>
      <c r="C34" s="72"/>
      <c r="D34" s="70"/>
      <c r="E34" s="70"/>
      <c r="F34" s="70"/>
      <c r="G34" s="70"/>
      <c r="H34" s="70"/>
      <c r="I34" s="70"/>
      <c r="J34" s="70"/>
      <c r="K34" s="70"/>
      <c r="L34" s="70"/>
      <c r="M34" s="71"/>
      <c r="N34" s="70"/>
      <c r="O34" s="70"/>
      <c r="P34" s="70"/>
      <c r="Q34" s="70"/>
      <c r="R34" s="70"/>
      <c r="S34" s="70"/>
      <c r="T34" s="70"/>
      <c r="U34" s="70"/>
      <c r="V34" s="70"/>
      <c r="W34" s="71"/>
      <c r="X34" s="70"/>
      <c r="Y34" s="70"/>
      <c r="Z34" s="70"/>
      <c r="AA34" s="70"/>
      <c r="AB34" s="70"/>
      <c r="AC34" s="70"/>
      <c r="AD34" s="70"/>
      <c r="AE34" s="70"/>
      <c r="AF34" s="70"/>
      <c r="AG34" s="70"/>
      <c r="AH34" s="70"/>
      <c r="AI34" s="70"/>
      <c r="AJ34" s="70"/>
      <c r="AK34" s="70"/>
      <c r="AL34" s="70"/>
      <c r="AM34" s="70"/>
      <c r="AN34" s="70"/>
      <c r="AO34" s="70"/>
      <c r="AP34" s="70"/>
      <c r="AQ34" s="71"/>
      <c r="AR34" s="70"/>
      <c r="AS34" s="70"/>
      <c r="AT34" s="70"/>
      <c r="AU34" s="70"/>
      <c r="AV34" s="70"/>
      <c r="AW34" s="70"/>
      <c r="AX34" s="70"/>
      <c r="AY34" s="70"/>
      <c r="AZ34" s="70"/>
      <c r="BA34" s="71"/>
    </row>
    <row r="35" spans="1:53" ht="20.100000000000001" customHeight="1">
      <c r="A35" s="69"/>
      <c r="B35" s="69"/>
      <c r="C35" s="69"/>
      <c r="D35" s="70"/>
      <c r="E35" s="70"/>
      <c r="F35" s="70"/>
      <c r="G35" s="70"/>
      <c r="H35" s="70"/>
      <c r="I35" s="70"/>
      <c r="J35" s="70"/>
      <c r="K35" s="70"/>
      <c r="L35" s="70"/>
      <c r="M35" s="71"/>
      <c r="N35" s="70"/>
      <c r="O35" s="70"/>
      <c r="P35" s="70"/>
      <c r="Q35" s="70"/>
      <c r="R35" s="70"/>
      <c r="S35" s="70"/>
      <c r="T35" s="70"/>
      <c r="U35" s="70"/>
      <c r="V35" s="70"/>
      <c r="W35" s="71"/>
      <c r="X35" s="70"/>
      <c r="Y35" s="70"/>
      <c r="Z35" s="70"/>
      <c r="AA35" s="70"/>
      <c r="AB35" s="70"/>
      <c r="AC35" s="70"/>
      <c r="AD35" s="70"/>
      <c r="AE35" s="70"/>
      <c r="AF35" s="70"/>
      <c r="AG35" s="70"/>
      <c r="AH35" s="70"/>
      <c r="AI35" s="70"/>
      <c r="AJ35" s="70"/>
      <c r="AK35" s="70"/>
      <c r="AL35" s="70"/>
      <c r="AM35" s="70"/>
      <c r="AN35" s="70"/>
      <c r="AO35" s="70"/>
      <c r="AP35" s="70"/>
      <c r="AQ35" s="71"/>
      <c r="AR35" s="70"/>
      <c r="AS35" s="70"/>
      <c r="AT35" s="70"/>
      <c r="AU35" s="70"/>
      <c r="AV35" s="70"/>
      <c r="AW35" s="70"/>
      <c r="AX35" s="70"/>
      <c r="AY35" s="70"/>
      <c r="AZ35" s="70"/>
      <c r="BA35" s="71"/>
    </row>
    <row r="36" spans="1:53" ht="20.100000000000001" customHeight="1">
      <c r="A36" s="72"/>
      <c r="B36" s="72"/>
      <c r="C36" s="72"/>
      <c r="D36" s="70"/>
      <c r="E36" s="70"/>
      <c r="F36" s="70"/>
      <c r="G36" s="70"/>
      <c r="H36" s="70"/>
      <c r="I36" s="70"/>
      <c r="J36" s="70"/>
      <c r="K36" s="70"/>
      <c r="L36" s="70"/>
      <c r="M36" s="71"/>
      <c r="N36" s="70"/>
      <c r="O36" s="70"/>
      <c r="P36" s="70"/>
      <c r="Q36" s="70"/>
      <c r="R36" s="70"/>
      <c r="S36" s="70"/>
      <c r="T36" s="70"/>
      <c r="U36" s="70"/>
      <c r="V36" s="70"/>
      <c r="W36" s="71"/>
      <c r="X36" s="70"/>
      <c r="Y36" s="70"/>
      <c r="Z36" s="70"/>
      <c r="AA36" s="70"/>
      <c r="AB36" s="70"/>
      <c r="AC36" s="70"/>
      <c r="AD36" s="70"/>
      <c r="AE36" s="70"/>
      <c r="AF36" s="70"/>
      <c r="AG36" s="70"/>
      <c r="AH36" s="70"/>
      <c r="AI36" s="70"/>
      <c r="AJ36" s="70"/>
      <c r="AK36" s="70"/>
      <c r="AL36" s="70"/>
      <c r="AM36" s="70"/>
      <c r="AN36" s="70"/>
      <c r="AO36" s="70"/>
      <c r="AP36" s="70"/>
      <c r="AQ36" s="71"/>
      <c r="AR36" s="70"/>
      <c r="AS36" s="70"/>
      <c r="AT36" s="70"/>
      <c r="AU36" s="70"/>
      <c r="AV36" s="70"/>
      <c r="AW36" s="70"/>
      <c r="AX36" s="70"/>
      <c r="AY36" s="70"/>
      <c r="AZ36" s="70"/>
      <c r="BA36" s="71"/>
    </row>
    <row r="37" spans="1:53" ht="20.100000000000001" customHeight="1">
      <c r="A37" s="69"/>
      <c r="B37" s="69"/>
      <c r="C37" s="69"/>
      <c r="D37" s="70"/>
      <c r="E37" s="70"/>
      <c r="F37" s="70"/>
      <c r="G37" s="70"/>
      <c r="H37" s="70"/>
      <c r="I37" s="70"/>
      <c r="J37" s="70"/>
      <c r="K37" s="70"/>
      <c r="L37" s="70"/>
      <c r="M37" s="71"/>
      <c r="N37" s="70"/>
      <c r="O37" s="70"/>
      <c r="P37" s="70"/>
      <c r="Q37" s="70"/>
      <c r="R37" s="70"/>
      <c r="S37" s="70"/>
      <c r="T37" s="70"/>
      <c r="U37" s="70"/>
      <c r="V37" s="70"/>
      <c r="W37" s="71"/>
      <c r="X37" s="70"/>
      <c r="Y37" s="70"/>
      <c r="Z37" s="70"/>
      <c r="AA37" s="70"/>
      <c r="AB37" s="70"/>
      <c r="AC37" s="70"/>
      <c r="AD37" s="70"/>
      <c r="AE37" s="70"/>
      <c r="AF37" s="70"/>
      <c r="AG37" s="70"/>
      <c r="AH37" s="70"/>
      <c r="AI37" s="70"/>
      <c r="AJ37" s="70"/>
      <c r="AK37" s="70"/>
      <c r="AL37" s="70"/>
      <c r="AM37" s="70"/>
      <c r="AN37" s="70"/>
      <c r="AO37" s="70"/>
      <c r="AP37" s="70"/>
      <c r="AQ37" s="71"/>
      <c r="AR37" s="70"/>
      <c r="AS37" s="70"/>
      <c r="AT37" s="70"/>
      <c r="AU37" s="70"/>
      <c r="AV37" s="70"/>
      <c r="AW37" s="70"/>
      <c r="AX37" s="70"/>
      <c r="AY37" s="70"/>
      <c r="AZ37" s="70"/>
      <c r="BA37" s="71"/>
    </row>
    <row r="38" spans="1:53" ht="20.100000000000001" customHeight="1">
      <c r="A38" s="72"/>
      <c r="B38" s="72"/>
      <c r="C38" s="72"/>
      <c r="D38" s="70"/>
      <c r="E38" s="70"/>
      <c r="F38" s="70"/>
      <c r="G38" s="70"/>
      <c r="H38" s="70"/>
      <c r="I38" s="70"/>
      <c r="J38" s="70"/>
      <c r="K38" s="70"/>
      <c r="L38" s="70"/>
      <c r="M38" s="71"/>
      <c r="N38" s="70"/>
      <c r="O38" s="70"/>
      <c r="P38" s="70"/>
      <c r="Q38" s="70"/>
      <c r="R38" s="70"/>
      <c r="S38" s="70"/>
      <c r="T38" s="70"/>
      <c r="U38" s="70"/>
      <c r="V38" s="70"/>
      <c r="W38" s="71"/>
      <c r="X38" s="70"/>
      <c r="Y38" s="70"/>
      <c r="Z38" s="70"/>
      <c r="AA38" s="70"/>
      <c r="AB38" s="70"/>
      <c r="AC38" s="70"/>
      <c r="AD38" s="70"/>
      <c r="AE38" s="70"/>
      <c r="AF38" s="70"/>
      <c r="AG38" s="70"/>
      <c r="AH38" s="70"/>
      <c r="AI38" s="70"/>
      <c r="AJ38" s="70"/>
      <c r="AK38" s="70"/>
      <c r="AL38" s="70"/>
      <c r="AM38" s="70"/>
      <c r="AN38" s="70"/>
      <c r="AO38" s="70"/>
      <c r="AP38" s="70"/>
      <c r="AQ38" s="71"/>
      <c r="AR38" s="70"/>
      <c r="AS38" s="70"/>
      <c r="AT38" s="70"/>
      <c r="AU38" s="70"/>
      <c r="AV38" s="70"/>
      <c r="AW38" s="70"/>
      <c r="AX38" s="70"/>
      <c r="AY38" s="70"/>
      <c r="AZ38" s="70"/>
      <c r="BA38" s="71"/>
    </row>
    <row r="39" spans="1:53" ht="20.100000000000001" customHeight="1">
      <c r="A39" s="69"/>
      <c r="B39" s="69"/>
      <c r="C39" s="69"/>
      <c r="D39" s="70"/>
      <c r="E39" s="70"/>
      <c r="F39" s="70"/>
      <c r="G39" s="70"/>
      <c r="H39" s="70"/>
      <c r="I39" s="70"/>
      <c r="J39" s="70"/>
      <c r="K39" s="70"/>
      <c r="L39" s="70"/>
      <c r="M39" s="71"/>
      <c r="N39" s="70"/>
      <c r="O39" s="70"/>
      <c r="P39" s="70"/>
      <c r="Q39" s="70"/>
      <c r="R39" s="70"/>
      <c r="S39" s="70"/>
      <c r="T39" s="70"/>
      <c r="U39" s="70"/>
      <c r="V39" s="70"/>
      <c r="W39" s="71"/>
      <c r="X39" s="70"/>
      <c r="Y39" s="70"/>
      <c r="Z39" s="70"/>
      <c r="AA39" s="70"/>
      <c r="AB39" s="70"/>
      <c r="AC39" s="70"/>
      <c r="AD39" s="70"/>
      <c r="AE39" s="70"/>
      <c r="AF39" s="70"/>
      <c r="AG39" s="70"/>
      <c r="AH39" s="70"/>
      <c r="AI39" s="70"/>
      <c r="AJ39" s="70"/>
      <c r="AK39" s="70"/>
      <c r="AL39" s="70"/>
      <c r="AM39" s="70"/>
      <c r="AN39" s="70"/>
      <c r="AO39" s="70"/>
      <c r="AP39" s="70"/>
      <c r="AQ39" s="71"/>
      <c r="AR39" s="70"/>
      <c r="AS39" s="70"/>
      <c r="AT39" s="70"/>
      <c r="AU39" s="70"/>
      <c r="AV39" s="70"/>
      <c r="AW39" s="70"/>
      <c r="AX39" s="70"/>
      <c r="AY39" s="70"/>
      <c r="AZ39" s="70"/>
      <c r="BA39" s="71"/>
    </row>
    <row r="40" spans="1:53" ht="20.100000000000001" customHeight="1">
      <c r="A40" s="72"/>
      <c r="B40" s="72"/>
      <c r="C40" s="72"/>
      <c r="D40" s="70"/>
      <c r="E40" s="70"/>
      <c r="F40" s="70"/>
      <c r="G40" s="70"/>
      <c r="H40" s="70"/>
      <c r="I40" s="70"/>
      <c r="J40" s="70"/>
      <c r="K40" s="70"/>
      <c r="L40" s="70"/>
      <c r="M40" s="71"/>
      <c r="N40" s="70"/>
      <c r="O40" s="70"/>
      <c r="P40" s="70"/>
      <c r="Q40" s="70"/>
      <c r="R40" s="70"/>
      <c r="S40" s="70"/>
      <c r="T40" s="70"/>
      <c r="U40" s="70"/>
      <c r="V40" s="70"/>
      <c r="W40" s="71"/>
      <c r="X40" s="70"/>
      <c r="Y40" s="70"/>
      <c r="Z40" s="70"/>
      <c r="AA40" s="70"/>
      <c r="AB40" s="70"/>
      <c r="AC40" s="70"/>
      <c r="AD40" s="70"/>
      <c r="AE40" s="70"/>
      <c r="AF40" s="70"/>
      <c r="AG40" s="70"/>
      <c r="AH40" s="70"/>
      <c r="AI40" s="70"/>
      <c r="AJ40" s="70"/>
      <c r="AK40" s="70"/>
      <c r="AL40" s="70"/>
      <c r="AM40" s="70"/>
      <c r="AN40" s="70"/>
      <c r="AO40" s="70"/>
      <c r="AP40" s="70"/>
      <c r="AQ40" s="71"/>
      <c r="AR40" s="70"/>
      <c r="AS40" s="70"/>
      <c r="AT40" s="70"/>
      <c r="AU40" s="70"/>
      <c r="AV40" s="70"/>
      <c r="AW40" s="70"/>
      <c r="AX40" s="70"/>
      <c r="AY40" s="70"/>
      <c r="AZ40" s="70"/>
      <c r="BA40" s="71"/>
    </row>
    <row r="41" spans="1:53" ht="20.100000000000001" customHeight="1">
      <c r="A41" s="69"/>
      <c r="B41" s="69"/>
      <c r="C41" s="69"/>
      <c r="D41" s="70"/>
      <c r="E41" s="70"/>
      <c r="F41" s="70"/>
      <c r="G41" s="70"/>
      <c r="H41" s="70"/>
      <c r="I41" s="70"/>
      <c r="J41" s="70"/>
      <c r="K41" s="70"/>
      <c r="L41" s="70"/>
      <c r="M41" s="71"/>
      <c r="N41" s="70"/>
      <c r="O41" s="70"/>
      <c r="P41" s="70"/>
      <c r="Q41" s="70"/>
      <c r="R41" s="70"/>
      <c r="S41" s="70"/>
      <c r="T41" s="70"/>
      <c r="U41" s="70"/>
      <c r="V41" s="70"/>
      <c r="W41" s="71"/>
      <c r="X41" s="70"/>
      <c r="Y41" s="70"/>
      <c r="Z41" s="70"/>
      <c r="AA41" s="70"/>
      <c r="AB41" s="70"/>
      <c r="AC41" s="70"/>
      <c r="AD41" s="70"/>
      <c r="AE41" s="70"/>
      <c r="AF41" s="70"/>
      <c r="AG41" s="70"/>
      <c r="AH41" s="70"/>
      <c r="AI41" s="70"/>
      <c r="AJ41" s="70"/>
      <c r="AK41" s="70"/>
      <c r="AL41" s="70"/>
      <c r="AM41" s="70"/>
      <c r="AN41" s="70"/>
      <c r="AO41" s="70"/>
      <c r="AP41" s="70"/>
      <c r="AQ41" s="71"/>
      <c r="AR41" s="70"/>
      <c r="AS41" s="70"/>
      <c r="AT41" s="70"/>
      <c r="AU41" s="70"/>
      <c r="AV41" s="70"/>
      <c r="AW41" s="70"/>
      <c r="AX41" s="70"/>
      <c r="AY41" s="70"/>
      <c r="AZ41" s="70"/>
      <c r="BA41" s="71"/>
    </row>
    <row r="42" spans="1:53" ht="20.100000000000001" customHeight="1">
      <c r="A42" s="72"/>
      <c r="B42" s="72"/>
      <c r="C42" s="72"/>
      <c r="D42" s="70"/>
      <c r="E42" s="70"/>
      <c r="F42" s="70"/>
      <c r="G42" s="70"/>
      <c r="H42" s="70"/>
      <c r="I42" s="70"/>
      <c r="J42" s="70"/>
      <c r="K42" s="70"/>
      <c r="L42" s="70"/>
      <c r="M42" s="71"/>
      <c r="N42" s="70"/>
      <c r="O42" s="70"/>
      <c r="P42" s="70"/>
      <c r="Q42" s="70"/>
      <c r="R42" s="70"/>
      <c r="S42" s="70"/>
      <c r="T42" s="70"/>
      <c r="U42" s="70"/>
      <c r="V42" s="70"/>
      <c r="W42" s="71"/>
      <c r="X42" s="70"/>
      <c r="Y42" s="70"/>
      <c r="Z42" s="70"/>
      <c r="AA42" s="70"/>
      <c r="AB42" s="70"/>
      <c r="AC42" s="70"/>
      <c r="AD42" s="70"/>
      <c r="AE42" s="70"/>
      <c r="AF42" s="70"/>
      <c r="AG42" s="70"/>
      <c r="AH42" s="70"/>
      <c r="AI42" s="70"/>
      <c r="AJ42" s="70"/>
      <c r="AK42" s="70"/>
      <c r="AL42" s="70"/>
      <c r="AM42" s="70"/>
      <c r="AN42" s="70"/>
      <c r="AO42" s="70"/>
      <c r="AP42" s="70"/>
      <c r="AQ42" s="71"/>
      <c r="AR42" s="70"/>
      <c r="AS42" s="70"/>
      <c r="AT42" s="70"/>
      <c r="AU42" s="70"/>
      <c r="AV42" s="70"/>
      <c r="AW42" s="70"/>
      <c r="AX42" s="70"/>
      <c r="AY42" s="70"/>
      <c r="AZ42" s="70"/>
      <c r="BA42" s="71"/>
    </row>
    <row r="43" spans="1:53" ht="20.100000000000001" customHeight="1">
      <c r="A43" s="69"/>
      <c r="B43" s="69"/>
      <c r="C43" s="69"/>
      <c r="D43" s="70"/>
      <c r="E43" s="70"/>
      <c r="F43" s="70"/>
      <c r="G43" s="70"/>
      <c r="H43" s="70"/>
      <c r="I43" s="70"/>
      <c r="J43" s="70"/>
      <c r="K43" s="70"/>
      <c r="L43" s="70"/>
      <c r="M43" s="71"/>
      <c r="N43" s="70"/>
      <c r="O43" s="70"/>
      <c r="P43" s="70"/>
      <c r="Q43" s="70"/>
      <c r="R43" s="70"/>
      <c r="S43" s="70"/>
      <c r="T43" s="70"/>
      <c r="U43" s="70"/>
      <c r="V43" s="70"/>
      <c r="W43" s="71"/>
      <c r="X43" s="70"/>
      <c r="Y43" s="70"/>
      <c r="Z43" s="70"/>
      <c r="AA43" s="70"/>
      <c r="AB43" s="70"/>
      <c r="AC43" s="70"/>
      <c r="AD43" s="70"/>
      <c r="AE43" s="70"/>
      <c r="AF43" s="70"/>
      <c r="AG43" s="70"/>
      <c r="AH43" s="70"/>
      <c r="AI43" s="70"/>
      <c r="AJ43" s="70"/>
      <c r="AK43" s="70"/>
      <c r="AL43" s="70"/>
      <c r="AM43" s="70"/>
      <c r="AN43" s="70"/>
      <c r="AO43" s="70"/>
      <c r="AP43" s="70"/>
      <c r="AQ43" s="71"/>
      <c r="AR43" s="70"/>
      <c r="AS43" s="70"/>
      <c r="AT43" s="70"/>
      <c r="AU43" s="70"/>
      <c r="AV43" s="70"/>
      <c r="AW43" s="70"/>
      <c r="AX43" s="70"/>
      <c r="AY43" s="70"/>
      <c r="AZ43" s="70"/>
      <c r="BA43" s="71"/>
    </row>
    <row r="44" spans="1:53" ht="20.100000000000001" customHeight="1">
      <c r="A44" s="72"/>
      <c r="B44" s="72"/>
      <c r="C44" s="72"/>
      <c r="D44" s="70"/>
      <c r="E44" s="70"/>
      <c r="F44" s="70"/>
      <c r="G44" s="70"/>
      <c r="H44" s="70"/>
      <c r="I44" s="70"/>
      <c r="J44" s="70"/>
      <c r="K44" s="70"/>
      <c r="L44" s="70"/>
      <c r="M44" s="71"/>
      <c r="N44" s="70"/>
      <c r="O44" s="70"/>
      <c r="P44" s="70"/>
      <c r="Q44" s="70"/>
      <c r="R44" s="70"/>
      <c r="S44" s="70"/>
      <c r="T44" s="70"/>
      <c r="U44" s="70"/>
      <c r="V44" s="70"/>
      <c r="W44" s="71"/>
      <c r="X44" s="70"/>
      <c r="Y44" s="70"/>
      <c r="Z44" s="70"/>
      <c r="AA44" s="70"/>
      <c r="AB44" s="70"/>
      <c r="AC44" s="70"/>
      <c r="AD44" s="70"/>
      <c r="AE44" s="70"/>
      <c r="AF44" s="70"/>
      <c r="AG44" s="70"/>
      <c r="AH44" s="70"/>
      <c r="AI44" s="70"/>
      <c r="AJ44" s="70"/>
      <c r="AK44" s="70"/>
      <c r="AL44" s="70"/>
      <c r="AM44" s="70"/>
      <c r="AN44" s="70"/>
      <c r="AO44" s="70"/>
      <c r="AP44" s="70"/>
      <c r="AQ44" s="71"/>
      <c r="AR44" s="70"/>
      <c r="AS44" s="70"/>
      <c r="AT44" s="70"/>
      <c r="AU44" s="70"/>
      <c r="AV44" s="70"/>
      <c r="AW44" s="70"/>
      <c r="AX44" s="70"/>
      <c r="AY44" s="70"/>
      <c r="AZ44" s="70"/>
      <c r="BA44" s="71"/>
    </row>
    <row r="45" spans="1:53" ht="20.100000000000001" customHeight="1">
      <c r="A45" s="69"/>
      <c r="B45" s="69"/>
      <c r="C45" s="69"/>
      <c r="D45" s="70"/>
      <c r="E45" s="70"/>
      <c r="F45" s="70"/>
      <c r="G45" s="70"/>
      <c r="H45" s="70"/>
      <c r="I45" s="70"/>
      <c r="J45" s="70"/>
      <c r="K45" s="70"/>
      <c r="L45" s="70"/>
      <c r="M45" s="71"/>
      <c r="N45" s="70"/>
      <c r="O45" s="70"/>
      <c r="P45" s="70"/>
      <c r="Q45" s="70"/>
      <c r="R45" s="70"/>
      <c r="S45" s="70"/>
      <c r="T45" s="70"/>
      <c r="U45" s="70"/>
      <c r="V45" s="70"/>
      <c r="W45" s="71"/>
      <c r="X45" s="70"/>
      <c r="Y45" s="70"/>
      <c r="Z45" s="70"/>
      <c r="AA45" s="70"/>
      <c r="AB45" s="70"/>
      <c r="AC45" s="70"/>
      <c r="AD45" s="70"/>
      <c r="AE45" s="70"/>
      <c r="AF45" s="70"/>
      <c r="AG45" s="70"/>
      <c r="AH45" s="70"/>
      <c r="AI45" s="70"/>
      <c r="AJ45" s="70"/>
      <c r="AK45" s="70"/>
      <c r="AL45" s="70"/>
      <c r="AM45" s="70"/>
      <c r="AN45" s="70"/>
      <c r="AO45" s="70"/>
      <c r="AP45" s="70"/>
      <c r="AQ45" s="71"/>
      <c r="AR45" s="70"/>
      <c r="AS45" s="70"/>
      <c r="AT45" s="70"/>
      <c r="AU45" s="70"/>
      <c r="AV45" s="70"/>
      <c r="AW45" s="70"/>
      <c r="AX45" s="70"/>
      <c r="AY45" s="70"/>
      <c r="AZ45" s="70"/>
      <c r="BA45" s="71"/>
    </row>
    <row r="46" spans="1:53" ht="20.100000000000001" customHeight="1">
      <c r="A46" s="72"/>
      <c r="B46" s="72"/>
      <c r="C46" s="72"/>
      <c r="D46" s="70"/>
      <c r="E46" s="70"/>
      <c r="F46" s="70"/>
      <c r="G46" s="70"/>
      <c r="H46" s="70"/>
      <c r="I46" s="70"/>
      <c r="J46" s="70"/>
      <c r="K46" s="70"/>
      <c r="L46" s="70"/>
      <c r="M46" s="71"/>
      <c r="N46" s="70"/>
      <c r="O46" s="70"/>
      <c r="P46" s="70"/>
      <c r="Q46" s="70"/>
      <c r="R46" s="70"/>
      <c r="S46" s="70"/>
      <c r="T46" s="70"/>
      <c r="U46" s="70"/>
      <c r="V46" s="70"/>
      <c r="W46" s="71"/>
      <c r="X46" s="70"/>
      <c r="Y46" s="70"/>
      <c r="Z46" s="70"/>
      <c r="AA46" s="70"/>
      <c r="AB46" s="70"/>
      <c r="AC46" s="70"/>
      <c r="AD46" s="70"/>
      <c r="AE46" s="70"/>
      <c r="AF46" s="70"/>
      <c r="AG46" s="70"/>
      <c r="AH46" s="70"/>
      <c r="AI46" s="70"/>
      <c r="AJ46" s="70"/>
      <c r="AK46" s="70"/>
      <c r="AL46" s="70"/>
      <c r="AM46" s="70"/>
      <c r="AN46" s="70"/>
      <c r="AO46" s="70"/>
      <c r="AP46" s="70"/>
      <c r="AQ46" s="71"/>
      <c r="AR46" s="70"/>
      <c r="AS46" s="70"/>
      <c r="AT46" s="70"/>
      <c r="AU46" s="70"/>
      <c r="AV46" s="70"/>
      <c r="AW46" s="70"/>
      <c r="AX46" s="70"/>
      <c r="AY46" s="70"/>
      <c r="AZ46" s="70"/>
      <c r="BA46" s="71"/>
    </row>
    <row r="47" spans="1:53" ht="20.100000000000001" customHeight="1">
      <c r="A47" s="69"/>
      <c r="B47" s="69"/>
      <c r="C47" s="69"/>
      <c r="D47" s="70"/>
      <c r="E47" s="70"/>
      <c r="F47" s="70"/>
      <c r="G47" s="70"/>
      <c r="H47" s="70"/>
      <c r="I47" s="70"/>
      <c r="J47" s="70"/>
      <c r="K47" s="70"/>
      <c r="L47" s="70"/>
      <c r="M47" s="71"/>
      <c r="N47" s="70"/>
      <c r="O47" s="70"/>
      <c r="P47" s="70"/>
      <c r="Q47" s="70"/>
      <c r="R47" s="70"/>
      <c r="S47" s="70"/>
      <c r="T47" s="70"/>
      <c r="U47" s="70"/>
      <c r="V47" s="70"/>
      <c r="W47" s="71"/>
      <c r="X47" s="70"/>
      <c r="Y47" s="70"/>
      <c r="Z47" s="70"/>
      <c r="AA47" s="70"/>
      <c r="AB47" s="70"/>
      <c r="AC47" s="70"/>
      <c r="AD47" s="70"/>
      <c r="AE47" s="70"/>
      <c r="AF47" s="70"/>
      <c r="AG47" s="70"/>
      <c r="AH47" s="70"/>
      <c r="AI47" s="70"/>
      <c r="AJ47" s="70"/>
      <c r="AK47" s="70"/>
      <c r="AL47" s="70"/>
      <c r="AM47" s="70"/>
      <c r="AN47" s="70"/>
      <c r="AO47" s="70"/>
      <c r="AP47" s="70"/>
      <c r="AQ47" s="71"/>
      <c r="AR47" s="70"/>
      <c r="AS47" s="70"/>
      <c r="AT47" s="70"/>
      <c r="AU47" s="70"/>
      <c r="AV47" s="70"/>
      <c r="AW47" s="70"/>
      <c r="AX47" s="70"/>
      <c r="AY47" s="70"/>
      <c r="AZ47" s="70"/>
      <c r="BA47" s="71"/>
    </row>
    <row r="48" spans="1:53" ht="20.100000000000001" customHeight="1">
      <c r="A48" s="72"/>
      <c r="B48" s="72"/>
      <c r="C48" s="72"/>
      <c r="D48" s="70"/>
      <c r="E48" s="70"/>
      <c r="F48" s="70"/>
      <c r="G48" s="70"/>
      <c r="H48" s="70"/>
      <c r="I48" s="70"/>
      <c r="J48" s="70"/>
      <c r="K48" s="70"/>
      <c r="L48" s="70"/>
      <c r="M48" s="71"/>
      <c r="N48" s="70"/>
      <c r="O48" s="70"/>
      <c r="P48" s="70"/>
      <c r="Q48" s="70"/>
      <c r="R48" s="70"/>
      <c r="S48" s="70"/>
      <c r="T48" s="70"/>
      <c r="U48" s="70"/>
      <c r="V48" s="70"/>
      <c r="W48" s="71"/>
      <c r="X48" s="70"/>
      <c r="Y48" s="70"/>
      <c r="Z48" s="70"/>
      <c r="AA48" s="70"/>
      <c r="AB48" s="70"/>
      <c r="AC48" s="70"/>
      <c r="AD48" s="70"/>
      <c r="AE48" s="70"/>
      <c r="AF48" s="70"/>
      <c r="AG48" s="70"/>
      <c r="AH48" s="70"/>
      <c r="AI48" s="70"/>
      <c r="AJ48" s="70"/>
      <c r="AK48" s="70"/>
      <c r="AL48" s="70"/>
      <c r="AM48" s="70"/>
      <c r="AN48" s="70"/>
      <c r="AO48" s="70"/>
      <c r="AP48" s="70"/>
      <c r="AQ48" s="71"/>
      <c r="AR48" s="70"/>
      <c r="AS48" s="70"/>
      <c r="AT48" s="70"/>
      <c r="AU48" s="70"/>
      <c r="AV48" s="70"/>
      <c r="AW48" s="70"/>
      <c r="AX48" s="70"/>
      <c r="AY48" s="70"/>
      <c r="AZ48" s="70"/>
      <c r="BA48" s="71"/>
    </row>
    <row r="49" spans="1:53" ht="20.100000000000001" customHeight="1">
      <c r="A49" s="69"/>
      <c r="B49" s="69"/>
      <c r="C49" s="69"/>
      <c r="D49" s="70"/>
      <c r="E49" s="70"/>
      <c r="F49" s="70"/>
      <c r="G49" s="70"/>
      <c r="H49" s="70"/>
      <c r="I49" s="70"/>
      <c r="J49" s="70"/>
      <c r="K49" s="70"/>
      <c r="L49" s="70"/>
      <c r="M49" s="71"/>
      <c r="N49" s="70"/>
      <c r="O49" s="70"/>
      <c r="P49" s="70"/>
      <c r="Q49" s="70"/>
      <c r="R49" s="70"/>
      <c r="S49" s="70"/>
      <c r="T49" s="70"/>
      <c r="U49" s="70"/>
      <c r="V49" s="70"/>
      <c r="W49" s="71"/>
      <c r="X49" s="70"/>
      <c r="Y49" s="70"/>
      <c r="Z49" s="70"/>
      <c r="AA49" s="70"/>
      <c r="AB49" s="70"/>
      <c r="AC49" s="70"/>
      <c r="AD49" s="70"/>
      <c r="AE49" s="70"/>
      <c r="AF49" s="70"/>
      <c r="AG49" s="70"/>
      <c r="AH49" s="70"/>
      <c r="AI49" s="70"/>
      <c r="AJ49" s="70"/>
      <c r="AK49" s="70"/>
      <c r="AL49" s="70"/>
      <c r="AM49" s="70"/>
      <c r="AN49" s="70"/>
      <c r="AO49" s="70"/>
      <c r="AP49" s="70"/>
      <c r="AQ49" s="71"/>
      <c r="AR49" s="70"/>
      <c r="AS49" s="70"/>
      <c r="AT49" s="70"/>
      <c r="AU49" s="70"/>
      <c r="AV49" s="70"/>
      <c r="AW49" s="70"/>
      <c r="AX49" s="70"/>
      <c r="AY49" s="70"/>
      <c r="AZ49" s="70"/>
      <c r="BA49" s="71"/>
    </row>
    <row r="50" spans="1:53" ht="20.100000000000001" customHeight="1">
      <c r="A50" s="72"/>
      <c r="B50" s="72"/>
      <c r="C50" s="72"/>
      <c r="D50" s="70"/>
      <c r="E50" s="70"/>
      <c r="F50" s="70"/>
      <c r="G50" s="70"/>
      <c r="H50" s="70"/>
      <c r="I50" s="70"/>
      <c r="J50" s="70"/>
      <c r="K50" s="70"/>
      <c r="L50" s="70"/>
      <c r="M50" s="71"/>
      <c r="N50" s="70"/>
      <c r="O50" s="70"/>
      <c r="P50" s="70"/>
      <c r="Q50" s="70"/>
      <c r="R50" s="70"/>
      <c r="S50" s="70"/>
      <c r="T50" s="70"/>
      <c r="U50" s="70"/>
      <c r="V50" s="70"/>
      <c r="W50" s="71"/>
      <c r="X50" s="70"/>
      <c r="Y50" s="70"/>
      <c r="Z50" s="70"/>
      <c r="AA50" s="70"/>
      <c r="AB50" s="70"/>
      <c r="AC50" s="70"/>
      <c r="AD50" s="70"/>
      <c r="AE50" s="70"/>
      <c r="AF50" s="70"/>
      <c r="AG50" s="70"/>
      <c r="AH50" s="70"/>
      <c r="AI50" s="70"/>
      <c r="AJ50" s="70"/>
      <c r="AK50" s="70"/>
      <c r="AL50" s="70"/>
      <c r="AM50" s="70"/>
      <c r="AN50" s="70"/>
      <c r="AO50" s="70"/>
      <c r="AP50" s="70"/>
      <c r="AQ50" s="71"/>
      <c r="AR50" s="70"/>
      <c r="AS50" s="70"/>
      <c r="AT50" s="70"/>
      <c r="AU50" s="70"/>
      <c r="AV50" s="70"/>
      <c r="AW50" s="70"/>
      <c r="AX50" s="70"/>
      <c r="AY50" s="70"/>
      <c r="AZ50" s="70"/>
      <c r="BA50" s="71"/>
    </row>
    <row r="51" spans="1:53" ht="20.100000000000001" customHeight="1">
      <c r="A51" s="69"/>
      <c r="B51" s="69"/>
      <c r="C51" s="69"/>
      <c r="D51" s="70"/>
      <c r="E51" s="70"/>
      <c r="F51" s="70"/>
      <c r="G51" s="70"/>
      <c r="H51" s="70"/>
      <c r="I51" s="70"/>
      <c r="J51" s="70"/>
      <c r="K51" s="70"/>
      <c r="L51" s="70"/>
      <c r="M51" s="71"/>
      <c r="N51" s="70"/>
      <c r="O51" s="70"/>
      <c r="P51" s="70"/>
      <c r="Q51" s="70"/>
      <c r="R51" s="70"/>
      <c r="S51" s="70"/>
      <c r="T51" s="70"/>
      <c r="U51" s="70"/>
      <c r="V51" s="70"/>
      <c r="W51" s="71"/>
      <c r="X51" s="70"/>
      <c r="Y51" s="70"/>
      <c r="Z51" s="70"/>
      <c r="AA51" s="70"/>
      <c r="AB51" s="70"/>
      <c r="AC51" s="70"/>
      <c r="AD51" s="70"/>
      <c r="AE51" s="70"/>
      <c r="AF51" s="70"/>
      <c r="AG51" s="70"/>
      <c r="AH51" s="70"/>
      <c r="AI51" s="70"/>
      <c r="AJ51" s="70"/>
      <c r="AK51" s="70"/>
      <c r="AL51" s="70"/>
      <c r="AM51" s="70"/>
      <c r="AN51" s="70"/>
      <c r="AO51" s="70"/>
      <c r="AP51" s="70"/>
      <c r="AQ51" s="71"/>
      <c r="AR51" s="70"/>
      <c r="AS51" s="70"/>
      <c r="AT51" s="70"/>
      <c r="AU51" s="70"/>
      <c r="AV51" s="70"/>
      <c r="AW51" s="70"/>
      <c r="AX51" s="70"/>
      <c r="AY51" s="70"/>
      <c r="AZ51" s="70"/>
      <c r="BA51" s="71"/>
    </row>
    <row r="52" spans="1:53" ht="20.100000000000001" customHeight="1">
      <c r="A52" s="72"/>
      <c r="B52" s="72"/>
      <c r="C52" s="72"/>
      <c r="D52" s="70"/>
      <c r="E52" s="70"/>
      <c r="F52" s="70"/>
      <c r="G52" s="70"/>
      <c r="H52" s="70"/>
      <c r="I52" s="70"/>
      <c r="J52" s="70"/>
      <c r="K52" s="70"/>
      <c r="L52" s="70"/>
      <c r="M52" s="71"/>
      <c r="N52" s="70"/>
      <c r="O52" s="70"/>
      <c r="P52" s="70"/>
      <c r="Q52" s="70"/>
      <c r="R52" s="70"/>
      <c r="S52" s="70"/>
      <c r="T52" s="70"/>
      <c r="U52" s="70"/>
      <c r="V52" s="70"/>
      <c r="W52" s="71"/>
      <c r="X52" s="70"/>
      <c r="Y52" s="70"/>
      <c r="Z52" s="70"/>
      <c r="AA52" s="70"/>
      <c r="AB52" s="70"/>
      <c r="AC52" s="70"/>
      <c r="AD52" s="70"/>
      <c r="AE52" s="70"/>
      <c r="AF52" s="70"/>
      <c r="AG52" s="70"/>
      <c r="AH52" s="70"/>
      <c r="AI52" s="70"/>
      <c r="AJ52" s="70"/>
      <c r="AK52" s="70"/>
      <c r="AL52" s="70"/>
      <c r="AM52" s="70"/>
      <c r="AN52" s="70"/>
      <c r="AO52" s="70"/>
      <c r="AP52" s="70"/>
      <c r="AQ52" s="71"/>
      <c r="AR52" s="70"/>
      <c r="AS52" s="70"/>
      <c r="AT52" s="70"/>
      <c r="AU52" s="70"/>
      <c r="AV52" s="70"/>
      <c r="AW52" s="70"/>
      <c r="AX52" s="70"/>
      <c r="AY52" s="70"/>
      <c r="AZ52" s="70"/>
      <c r="BA52" s="71"/>
    </row>
    <row r="53" spans="1:53" ht="20.100000000000001" customHeight="1">
      <c r="A53" s="69"/>
      <c r="B53" s="69"/>
      <c r="C53" s="69"/>
      <c r="D53" s="70"/>
      <c r="E53" s="70"/>
      <c r="F53" s="70"/>
      <c r="G53" s="70"/>
      <c r="H53" s="70"/>
      <c r="I53" s="70"/>
      <c r="J53" s="70"/>
      <c r="K53" s="70"/>
      <c r="L53" s="70"/>
      <c r="M53" s="71"/>
      <c r="N53" s="70"/>
      <c r="O53" s="70"/>
      <c r="P53" s="70"/>
      <c r="Q53" s="70"/>
      <c r="R53" s="70"/>
      <c r="S53" s="70"/>
      <c r="T53" s="70"/>
      <c r="U53" s="70"/>
      <c r="V53" s="70"/>
      <c r="W53" s="71"/>
      <c r="X53" s="70"/>
      <c r="Y53" s="70"/>
      <c r="Z53" s="70"/>
      <c r="AA53" s="70"/>
      <c r="AB53" s="70"/>
      <c r="AC53" s="70"/>
      <c r="AD53" s="70"/>
      <c r="AE53" s="70"/>
      <c r="AF53" s="70"/>
      <c r="AG53" s="70"/>
      <c r="AH53" s="70"/>
      <c r="AI53" s="70"/>
      <c r="AJ53" s="70"/>
      <c r="AK53" s="70"/>
      <c r="AL53" s="70"/>
      <c r="AM53" s="70"/>
      <c r="AN53" s="70"/>
      <c r="AO53" s="70"/>
      <c r="AP53" s="70"/>
      <c r="AQ53" s="71"/>
      <c r="AR53" s="70"/>
      <c r="AS53" s="70"/>
      <c r="AT53" s="70"/>
      <c r="AU53" s="70"/>
      <c r="AV53" s="70"/>
      <c r="AW53" s="70"/>
      <c r="AX53" s="70"/>
      <c r="AY53" s="70"/>
      <c r="AZ53" s="70"/>
      <c r="BA53" s="71"/>
    </row>
    <row r="54" spans="1:53" ht="20.100000000000001" customHeight="1">
      <c r="A54" s="72"/>
      <c r="B54" s="72"/>
      <c r="C54" s="72"/>
      <c r="D54" s="70"/>
      <c r="E54" s="70"/>
      <c r="F54" s="70"/>
      <c r="G54" s="70"/>
      <c r="H54" s="70"/>
      <c r="I54" s="70"/>
      <c r="J54" s="70"/>
      <c r="K54" s="70"/>
      <c r="L54" s="70"/>
      <c r="M54" s="71"/>
      <c r="N54" s="70"/>
      <c r="O54" s="70"/>
      <c r="P54" s="70"/>
      <c r="Q54" s="70"/>
      <c r="R54" s="70"/>
      <c r="S54" s="70"/>
      <c r="T54" s="70"/>
      <c r="U54" s="70"/>
      <c r="V54" s="70"/>
      <c r="W54" s="71"/>
      <c r="X54" s="70"/>
      <c r="Y54" s="70"/>
      <c r="Z54" s="70"/>
      <c r="AA54" s="70"/>
      <c r="AB54" s="70"/>
      <c r="AC54" s="70"/>
      <c r="AD54" s="70"/>
      <c r="AE54" s="70"/>
      <c r="AF54" s="70"/>
      <c r="AG54" s="70"/>
      <c r="AH54" s="70"/>
      <c r="AI54" s="70"/>
      <c r="AJ54" s="70"/>
      <c r="AK54" s="70"/>
      <c r="AL54" s="70"/>
      <c r="AM54" s="70"/>
      <c r="AN54" s="70"/>
      <c r="AO54" s="70"/>
      <c r="AP54" s="70"/>
      <c r="AQ54" s="71"/>
      <c r="AR54" s="70"/>
      <c r="AS54" s="70"/>
      <c r="AT54" s="70"/>
      <c r="AU54" s="70"/>
      <c r="AV54" s="70"/>
      <c r="AW54" s="70"/>
      <c r="AX54" s="70"/>
      <c r="AY54" s="70"/>
      <c r="AZ54" s="70"/>
      <c r="BA54" s="71"/>
    </row>
    <row r="55" spans="1:53" ht="26.1" customHeight="1">
      <c r="A55" s="4" t="s">
        <v>201</v>
      </c>
      <c r="B55" s="4"/>
      <c r="C55" s="4"/>
      <c r="D55" s="73" t="str">
        <f>IFERROR(AVERAGE(D5:D54),"")</f>
        <v/>
      </c>
      <c r="E55" s="73" t="str">
        <f>IFERROR(AVERAGE(E5:E54),"")</f>
        <v/>
      </c>
      <c r="F55" s="73" t="str">
        <f>IFERROR(AVERAGE(F5:F54),"")</f>
        <v/>
      </c>
      <c r="G55" s="73" t="str">
        <f>IFERROR(AVERAGE(G5:G54),"")</f>
        <v/>
      </c>
      <c r="H55" s="73" t="str">
        <f>IFERROR(AVERAGE(H5:H54),"")</f>
        <v/>
      </c>
      <c r="I55" s="73" t="str">
        <f>IFERROR(AVERAGE(I5:I54),"")</f>
        <v/>
      </c>
      <c r="J55" s="73" t="str">
        <f>IFERROR(AVERAGE(J5:J54),"")</f>
        <v/>
      </c>
      <c r="K55" s="73" t="str">
        <f>IFERROR(AVERAGE(K5:K54),"")</f>
        <v/>
      </c>
      <c r="L55" s="73" t="str">
        <f>IFERROR(AVERAGE(L5:L54),"")</f>
        <v/>
      </c>
      <c r="M55" s="74"/>
      <c r="N55" s="73" t="str">
        <f>IFERROR(AVERAGE(N5:N54),"")</f>
        <v/>
      </c>
      <c r="O55" s="73" t="str">
        <f>IFERROR(AVERAGE(O5:O54),"")</f>
        <v/>
      </c>
      <c r="P55" s="73" t="str">
        <f>IFERROR(AVERAGE(P5:P54),"")</f>
        <v/>
      </c>
      <c r="Q55" s="73" t="str">
        <f>IFERROR(AVERAGE(Q5:Q54),"")</f>
        <v/>
      </c>
      <c r="R55" s="73" t="str">
        <f>IFERROR(AVERAGE(R5:R54),"")</f>
        <v/>
      </c>
      <c r="S55" s="73" t="str">
        <f>IFERROR(AVERAGE(S5:S54),"")</f>
        <v/>
      </c>
      <c r="T55" s="73" t="str">
        <f>IFERROR(AVERAGE(T5:T54),"")</f>
        <v/>
      </c>
      <c r="U55" s="73" t="str">
        <f>IFERROR(AVERAGE(U5:U54),"")</f>
        <v/>
      </c>
      <c r="V55" s="73" t="str">
        <f>IFERROR(AVERAGE(V5:V54),"")</f>
        <v/>
      </c>
      <c r="W55" s="74"/>
      <c r="X55" s="73" t="str">
        <f>IFERROR(AVERAGE(X5:X54),"")</f>
        <v/>
      </c>
      <c r="Y55" s="73" t="str">
        <f>IFERROR(AVERAGE(Y5:Y54),"")</f>
        <v/>
      </c>
      <c r="Z55" s="73" t="str">
        <f>IFERROR(AVERAGE(Z5:Z54),"")</f>
        <v/>
      </c>
      <c r="AA55" s="73" t="str">
        <f>IFERROR(AVERAGE(AA5:AA54),"")</f>
        <v/>
      </c>
      <c r="AB55" s="73" t="str">
        <f>IFERROR(AVERAGE(AB5:AB54),"")</f>
        <v/>
      </c>
      <c r="AC55" s="73" t="str">
        <f>IFERROR(AVERAGE(AC5:AC54),"")</f>
        <v/>
      </c>
      <c r="AD55" s="73" t="str">
        <f>IFERROR(AVERAGE(AD5:AD54),"")</f>
        <v/>
      </c>
      <c r="AE55" s="73" t="str">
        <f>IFERROR(AVERAGE(AE5:AE54),"")</f>
        <v/>
      </c>
      <c r="AF55" s="73" t="str">
        <f>IFERROR(AVERAGE(AF5:AF54),"")</f>
        <v/>
      </c>
      <c r="AG55" s="73" t="str">
        <f>IFERROR(AVERAGE(AG5:AG54),"")</f>
        <v/>
      </c>
      <c r="AH55" s="73" t="str">
        <f>IFERROR(AVERAGE(AH5:AH54),"")</f>
        <v/>
      </c>
      <c r="AI55" s="73" t="str">
        <f>IFERROR(AVERAGE(AI5:AI54),"")</f>
        <v/>
      </c>
      <c r="AJ55" s="73" t="str">
        <f>IFERROR(AVERAGE(AJ5:AJ54),"")</f>
        <v/>
      </c>
      <c r="AK55" s="73" t="str">
        <f>IFERROR(AVERAGE(AK5:AK54),"")</f>
        <v/>
      </c>
      <c r="AL55" s="73" t="str">
        <f>IFERROR(AVERAGE(AL5:AL54),"")</f>
        <v/>
      </c>
      <c r="AM55" s="73" t="str">
        <f>IFERROR(AVERAGE(AM5:AM54),"")</f>
        <v/>
      </c>
      <c r="AN55" s="73" t="str">
        <f>IFERROR(AVERAGE(AN5:AN54),"")</f>
        <v/>
      </c>
      <c r="AO55" s="73" t="str">
        <f>IFERROR(AVERAGE(AO5:AO54),"")</f>
        <v/>
      </c>
      <c r="AP55" s="73" t="str">
        <f>IFERROR(AVERAGE(AP5:AP54),"")</f>
        <v/>
      </c>
      <c r="AQ55" s="74"/>
      <c r="AR55" s="73" t="str">
        <f>IFERROR(AVERAGE(AR5:AR54),"")</f>
        <v/>
      </c>
      <c r="AS55" s="73" t="str">
        <f>IFERROR(AVERAGE(AS5:AS54),"")</f>
        <v/>
      </c>
      <c r="AT55" s="73" t="str">
        <f>IFERROR(AVERAGE(AT5:AT54),"")</f>
        <v/>
      </c>
      <c r="AU55" s="73" t="str">
        <f>IFERROR(AVERAGE(AU5:AU54),"")</f>
        <v/>
      </c>
      <c r="AV55" s="73" t="str">
        <f>IFERROR(AVERAGE(AV5:AV54),"")</f>
        <v/>
      </c>
      <c r="AW55" s="73" t="str">
        <f>IFERROR(AVERAGE(AW5:AW54),"")</f>
        <v/>
      </c>
      <c r="AX55" s="73" t="str">
        <f>IFERROR(AVERAGE(AX5:AX54),"")</f>
        <v/>
      </c>
      <c r="AY55" s="73" t="str">
        <f>IFERROR(AVERAGE(AY5:AY54),"")</f>
        <v/>
      </c>
      <c r="AZ55" s="73" t="str">
        <f>IFERROR(AVERAGE(AZ5:AZ54),"")</f>
        <v/>
      </c>
      <c r="BA55" s="74"/>
    </row>
    <row r="57" spans="1:53" ht="21.95" customHeight="1">
      <c r="A57" s="96" t="s">
        <v>202</v>
      </c>
      <c r="B57" s="99"/>
      <c r="C57" s="99"/>
      <c r="D57" s="99"/>
      <c r="E57" s="99"/>
    </row>
    <row r="58" spans="1:53" ht="21.95" customHeight="1">
      <c r="A58" s="75" t="s">
        <v>29</v>
      </c>
      <c r="B58" s="76" t="s">
        <v>68</v>
      </c>
      <c r="C58" s="77" t="s">
        <v>99</v>
      </c>
      <c r="D58" s="78" t="s">
        <v>130</v>
      </c>
      <c r="E58" s="79" t="s">
        <v>162</v>
      </c>
    </row>
    <row r="59" spans="1:53" ht="30" customHeight="1">
      <c r="A59" s="80" t="str">
        <f>IFERROR(AVERAGE(D55,E55,F55,G55,H55,I55,J55,K55,L55),"No data")</f>
        <v>No data</v>
      </c>
      <c r="B59" s="81" t="str">
        <f>IFERROR(AVERAGE(N55,O55,P55,Q55,R55,S55,T55,U55,V55),"No data")</f>
        <v>No data</v>
      </c>
      <c r="C59" s="82" t="str">
        <f>IFERROR(AVERAGE(X55,Y55,Z55,AA55,AB55,AC55,AD55,AE55,AF55,AG55),"No data")</f>
        <v>No data</v>
      </c>
      <c r="D59" s="83" t="str">
        <f>IFERROR(AVERAGE(AH55,AI55,AJ55,AK55,AL55,AM55,AN55,AO55,AP55),"No data")</f>
        <v>No data</v>
      </c>
      <c r="E59" s="84" t="str">
        <f>IFERROR(AVERAGE(AR55,AS55,AT55,AU55,AV55,AW55,AX55,AY55,AZ55),"No data")</f>
        <v>No data</v>
      </c>
    </row>
  </sheetData>
  <mergeCells count="2">
    <mergeCell ref="A57:E57"/>
    <mergeCell ref="A1:BA1"/>
  </mergeCells>
  <dataValidations count="1">
    <dataValidation type="whole" errorTitle="Invalid Score" error="Enter a score between 1 and 5" promptTitle="Likert Score" prompt="Enter 1 (worst) to 5 (best)" sqref="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AA5 AA6 AA7 AA8 AA9 AA10 AA11 AA12 AA13 AA14 AA15 AA16 AA17 AA18 AA19 AA20 AA21 AA22 AA23 AA24 AA25 AA26 AA27 AA28 AA29 AA30 AA31 AA32 AA33 AA34 AA35 AA36 AA37 AA38 AA39 AA40 AA41 AA42 AA43 AA44 AA45 AA46 AA47 AA48 AA49 AA50 AA51 AA52 AA53 AA54 AB5 AB6 AB7 AB8 AB9 AB10 AB11 AB12 AB13 AB14 AB15 AB16 AB17 AB18 AB19 AB20 AB21 AB22 AB23 AB24 AB25 AB26 AB27 AB28 AB29 AB30 AB31 AB32 AB33 AB34 AB35 AB36 AB37 AB38 AB39 AB40 AB41 AB42 AB43 AB44 AB45 AB46 AB47 AB48 AB49 AB50 AB51 AB52 AB53 AB54 AC5 AC6 AC7 AC8 AC9 AC10 AC11 AC12 AC13 AC14 AC15 AC16 AC17 AC18 AC19 AC20 AC21 AC22 AC23 AC24 AC25 AC26 AC27 AC28 AC29 AC30 AC31 AC32 AC33 AC34 AC35 AC36 AC37 AC38 AC39 AC40 AC41 AC42 AC43 AC44 AC45 AC46 AC47 AC48 AC49 AC50 AC51 AC52 AC53 AC54 AD5 AD6 AD7 AD8 AD9 AD10 AD11 AD12 AD13 AD14 AD15 AD16 AD17 AD18 AD19 AD20 AD21 AD22 AD23 AD24 AD25 AD26 AD27 AD28 AD29 AD30 AD31 AD32 AD33 AD34 AD35 AD36 AD37 AD38 AD39 AD40 AD41 AD42 AD43 AD44 AD45 AD46 AD47 AD48 AD49 AD50 AD51 AD52 AD53 AD54 AE5 AE6 AE7 AE8 AE9 AE10 AE11 AE12 AE13 AE14 AE15 AE16 AE17 AE18 AE19 AE20 AE21 AE22 AE23 AE24 AE25 AE26 AE27 AE28 AE29 AE30 AE31 AE32 AE33 AE34 AE35 AE36 AE37 AE38 AE39 AE40 AE41 AE42 AE43 AE44 AE45 AE46 AE47 AE48 AE49 AE50 AE51 AE52 AE53 AE54 AF5 AF6 AF7 AF8 AF9 AF10 AF11 AF12 AF13 AF14 AF15 AF16 AF17 AF18 AF19 AF20 AF21 AF22 AF23 AF24 AF25 AF26 AF27 AF28 AF29 AF30 AF31 AF32 AF33 AF34 AF35 AF36 AF37 AF38 AF39 AF40 AF41 AF42 AF43 AF44 AF45 AF46 AF47 AF48 AF49 AF50 AF51 AF52 AF53 AF54 AG5 AG6 AG7 AG8 AG9 AG10 AG11 AG12 AG13 AG14 AG15 AG16 AG17 AG18 AG19 AG20 AG21 AG22 AG23 AG24 AG25 AG26 AG27 AG28 AG29 AG30 AG31 AG32 AG33 AG34 AG35 AG36 AG37 AG38 AG39 AG40 AG41 AG42 AG43 AG44 AG45 AG46 AG47 AG48 AG49 AG50 AG51 AG52 AG53 AG54 AH5 AH6 AH7 AH8 AH9 AH10 AH11 AH12 AH13 AH14 AH15 AH16 AH17 AH18 AH19 AH20 AH21 AH22 AH23 AH24 AH25 AH26 AH27 AH28 AH29 AH30 AH31 AH32 AH33 AH34 AH35 AH36 AH37 AH38 AH39 AH40 AH41 AH42 AH43 AH44 AH45 AH46 AH47 AH48 AH49 AH50 AH51 AH52 AH53 AH54 AI5 AI6 AI7 AI8 AI9 AI10 AI11 AI12 AI13 AI14 AI15 AI16 AI17 AI18 AI19 AI20 AI21 AI22 AI23 AI24 AI25 AI26 AI27 AI28 AI29 AI30 AI31 AI32 AI33 AI34 AI35 AI36 AI37 AI38 AI39 AI40 AI41 AI42 AI43 AI44 AI45 AI46 AI47 AI48 AI49 AI50 AI51 AI52 AI53 AI54 AJ5 AJ6 AJ7 AJ8 AJ9 AJ10 AJ11 AJ12 AJ13 AJ14 AJ15 AJ16 AJ17 AJ18 AJ19 AJ20 AJ21 AJ22 AJ23 AJ24 AJ25 AJ26 AJ27 AJ28 AJ29 AJ30 AJ31 AJ32 AJ33 AJ34 AJ35 AJ36 AJ37 AJ38 AJ39 AJ40 AJ41 AJ42 AJ43 AJ44 AJ45 AJ46 AJ47 AJ48 AJ49 AJ50 AJ51 AJ52 AJ53 AJ54 AK5 AK6 AK7 AK8 AK9 AK10 AK11 AK12 AK13 AK14 AK15 AK16 AK17 AK18 AK19 AK20 AK21 AK22 AK23 AK24 AK25 AK26 AK27 AK28 AK29 AK30 AK31 AK32 AK33 AK34 AK35 AK36 AK37 AK38 AK39 AK40 AK41 AK42 AK43 AK44 AK45 AK46 AK47 AK48 AK49 AK50 AK51 AK52 AK53 AK54 AL5 AL6 AL7 AL8 AL9 AL10 AL11 AL12 AL13 AL14 AL15 AL16 AL17 AL18 AL19 AL20 AL21 AL22 AL23 AL24 AL25 AL26 AL27 AL28 AL29 AL30 AL31 AL32 AL33 AL34 AL35 AL36 AL37 AL38 AL39 AL40 AL41 AL42 AL43 AL44 AL45 AL46 AL47 AL48 AL49 AL50 AL51 AL52 AL53 AL54 AM5 AM6 AM7 AM8 AM9 AM10 AM11 AM12 AM13 AM14 AM15 AM16 AM17 AM18 AM19 AM20 AM21 AM22 AM23 AM24 AM25 AM26 AM27 AM28 AM29 AM30 AM31 AM32 AM33 AM34 AM35 AM36 AM37 AM38 AM39 AM40 AM41 AM42 AM43 AM44 AM45 AM46 AM47 AM48 AM49 AM50 AM51 AM52 AM53 AM54 AN5 AN6 AN7 AN8 AN9 AN10 AN11 AN12 AN13 AN14 AN15 AN16 AN17 AN18 AN19 AN20 AN21 AN22 AN23 AN24 AN25 AN26 AN27 AN28 AN29 AN30 AN31 AN32 AN33 AN34 AN35 AN36 AN37 AN38 AN39 AN40 AN41 AN42 AN43 AN44 AN45 AN46 AN47 AN48 AN49 AN50 AN51 AN52 AN53 AN54 AO5 AO6 AO7 AO8 AO9 AO10 AO11 AO12 AO13 AO14 AO15 AO16 AO17 AO18 AO19 AO20 AO21 AO22 AO23 AO24 AO25 AO26 AO27 AO28 AO29 AO30 AO31 AO32 AO33 AO34 AO35 AO36 AO37 AO38 AO39 AO40 AO41 AO42 AO43 AO44 AO45 AO46 AO47 AO48 AO49 AO50 AO51 AO52 AO53 AO54 AP5 AP6 AP7 AP8 AP9 AP10 AP11 AP12 AP13 AP14 AP15 AP16 AP17 AP18 AP19 AP20 AP21 AP22 AP23 AP24 AP25 AP26 AP27 AP28 AP29 AP30 AP31 AP32 AP33 AP34 AP35 AP36 AP37 AP38 AP39 AP40 AP41 AP42 AP43 AP44 AP45 AP46 AP47 AP48 AP49 AP50 AP51 AP52 AP53 AP54 AR5 AR6 AR7 AR8 AR9 AR10 AR11 AR12 AR13 AR14 AR15 AR16 AR17 AR18 AR19 AR20 AR21 AR22 AR23 AR24 AR25 AR26 AR27 AR28 AR29 AR30 AR31 AR32 AR33 AR34 AR35 AR36 AR37 AR38 AR39 AR40 AR41 AR42 AR43 AR44 AR45 AR46 AR47 AR48 AR49 AR50 AR51 AR52 AR53 AR54 AS5 AS6 AS7 AS8 AS9 AS10 AS11 AS12 AS13 AS14 AS15 AS16 AS17 AS18 AS19 AS20 AS21 AS22 AS23 AS24 AS25 AS26 AS27 AS28 AS29 AS30 AS31 AS32 AS33 AS34 AS35 AS36 AS37 AS38 AS39 AS40 AS41 AS42 AS43 AS44 AS45 AS46 AS47 AS48 AS49 AS50 AS51 AS52 AS53 AS54 AT5 AT6 AT7 AT8 AT9 AT10 AT11 AT12 AT13 AT14 AT15 AT16 AT17 AT18 AT19 AT20 AT21 AT22 AT23 AT24 AT25 AT26 AT27 AT28 AT29 AT30 AT31 AT32 AT33 AT34 AT35 AT36 AT37 AT38 AT39 AT40 AT41 AT42 AT43 AT44 AT45 AT46 AT47 AT48 AT49 AT50 AT51 AT52 AT53 AT54 AU5 AU6 AU7 AU8 AU9 AU10 AU11 AU12 AU13 AU14 AU15 AU16 AU17 AU18 AU19 AU20 AU21 AU22 AU23 AU24 AU25 AU26 AU27 AU28 AU29 AU30 AU31 AU32 AU33 AU34 AU35 AU36 AU37 AU38 AU39 AU40 AU41 AU42 AU43 AU44 AU45 AU46 AU47 AU48 AU49 AU50 AU51 AU52 AU53 AU54 AV5 AV6 AV7 AV8 AV9 AV10 AV11 AV12 AV13 AV14 AV15 AV16 AV17 AV18 AV19 AV20 AV21 AV22 AV23 AV24 AV25 AV26 AV27 AV28 AV29 AV30 AV31 AV32 AV33 AV34 AV35 AV36 AV37 AV38 AV39 AV40 AV41 AV42 AV43 AV44 AV45 AV46 AV47 AV48 AV49 AV50 AV51 AV52 AV53 AV54 AW5 AW6 AW7 AW8 AW9 AW10 AW11 AW12 AW13 AW14 AW15 AW16 AW17 AW18 AW19 AW20 AW21 AW22 AW23 AW24 AW25 AW26 AW27 AW28 AW29 AW30 AW31 AW32 AW33 AW34 AW35 AW36 AW37 AW38 AW39 AW40 AW41 AW42 AW43 AW44 AW45 AW46 AW47 AW48 AW49 AW50 AW51 AW52 AW53 AW54 AX5 AX6 AX7 AX8 AX9 AX10 AX11 AX12 AX13 AX14 AX15 AX16 AX17 AX18 AX19 AX20 AX21 AX22 AX23 AX24 AX25 AX26 AX27 AX28 AX29 AX30 AX31 AX32 AX33 AX34 AX35 AX36 AX37 AX38 AX39 AX40 AX41 AX42 AX43 AX44 AX45 AX46 AX47 AX48 AX49 AX50 AX51 AX52 AX53 AX54 AY5 AY6 AY7 AY8 AY9 AY10 AY11 AY12 AY13 AY14 AY15 AY16 AY17 AY18 AY19 AY20 AY21 AY22 AY23 AY24 AY25 AY26 AY27 AY28 AY29 AY30 AY31 AY32 AY33 AY34 AY35 AY36 AY37 AY38 AY39 AY40 AY41 AY42 AY43 AY44 AY45 AY46 AY47 AY48 AY49 AY50 AY51 AY52 AY53 AY54 AZ5 AZ6 AZ7 AZ8 AZ9 AZ10 AZ11 AZ12 AZ13 AZ14 AZ15 AZ16 AZ17 AZ18 AZ19 AZ20 AZ21 AZ22 AZ23 AZ24 AZ25 AZ26 AZ27 AZ28 AZ29 AZ30 AZ31 AZ32 AZ33 AZ34 AZ35 AZ36 AZ37 AZ38 AZ39 AZ40 AZ41 AZ42 AZ43 AZ44 AZ45 AZ46 AZ47 AZ48 AZ49 AZ50 AZ51 AZ52 AZ53 AZ54" xr:uid="{00000000-0002-0000-0200-000000000000}">
      <formula1>1</formula1>
      <formula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7"/>
  <sheetViews>
    <sheetView showGridLines="0" workbookViewId="0">
      <pane xSplit="3" ySplit="4" topLeftCell="D5" activePane="bottomRight" state="frozen"/>
      <selection pane="bottomRight"/>
      <selection pane="bottomLeft"/>
      <selection pane="topRight"/>
    </sheetView>
  </sheetViews>
  <sheetFormatPr defaultRowHeight="15"/>
  <cols>
    <col min="1" max="1" width="22" customWidth="1"/>
    <col min="2" max="2" width="20" customWidth="1"/>
    <col min="3" max="3" width="22" customWidth="1"/>
    <col min="4" max="12" width="8" customWidth="1"/>
    <col min="13" max="13" width="40" customWidth="1"/>
    <col min="14" max="22" width="8" customWidth="1"/>
    <col min="23" max="23" width="40" customWidth="1"/>
    <col min="24" max="42" width="8" customWidth="1"/>
    <col min="43" max="43" width="40" customWidth="1"/>
    <col min="44" max="52" width="8" customWidth="1"/>
    <col min="53" max="53" width="40" customWidth="1"/>
  </cols>
  <sheetData>
    <row r="1" spans="1:53" ht="27.95" customHeight="1">
      <c r="A1" s="59" t="s">
        <v>192</v>
      </c>
    </row>
    <row r="2" spans="1:53" ht="18" customHeight="1">
      <c r="A2" s="60" t="s">
        <v>193</v>
      </c>
      <c r="B2" s="60" t="s">
        <v>193</v>
      </c>
      <c r="C2" s="60" t="s">
        <v>193</v>
      </c>
      <c r="D2" s="61" t="s">
        <v>29</v>
      </c>
      <c r="E2" s="61" t="s">
        <v>29</v>
      </c>
      <c r="F2" s="61" t="s">
        <v>29</v>
      </c>
      <c r="G2" s="61" t="s">
        <v>29</v>
      </c>
      <c r="H2" s="61" t="s">
        <v>29</v>
      </c>
      <c r="I2" s="61" t="s">
        <v>29</v>
      </c>
      <c r="J2" s="61" t="s">
        <v>29</v>
      </c>
      <c r="K2" s="61" t="s">
        <v>29</v>
      </c>
      <c r="L2" s="61" t="s">
        <v>29</v>
      </c>
      <c r="M2" s="61" t="s">
        <v>29</v>
      </c>
      <c r="N2" s="62" t="s">
        <v>68</v>
      </c>
      <c r="O2" s="62" t="s">
        <v>68</v>
      </c>
      <c r="P2" s="62" t="s">
        <v>68</v>
      </c>
      <c r="Q2" s="62" t="s">
        <v>68</v>
      </c>
      <c r="R2" s="62" t="s">
        <v>68</v>
      </c>
      <c r="S2" s="62" t="s">
        <v>68</v>
      </c>
      <c r="T2" s="62" t="s">
        <v>68</v>
      </c>
      <c r="U2" s="62" t="s">
        <v>68</v>
      </c>
      <c r="V2" s="62" t="s">
        <v>68</v>
      </c>
      <c r="W2" s="62" t="s">
        <v>68</v>
      </c>
      <c r="X2" s="63" t="s">
        <v>99</v>
      </c>
      <c r="Y2" s="63" t="s">
        <v>99</v>
      </c>
      <c r="Z2" s="63" t="s">
        <v>99</v>
      </c>
      <c r="AA2" s="63" t="s">
        <v>99</v>
      </c>
      <c r="AB2" s="63" t="s">
        <v>99</v>
      </c>
      <c r="AC2" s="63" t="s">
        <v>99</v>
      </c>
      <c r="AD2" s="63" t="s">
        <v>99</v>
      </c>
      <c r="AE2" s="63" t="s">
        <v>99</v>
      </c>
      <c r="AF2" s="63" t="s">
        <v>99</v>
      </c>
      <c r="AG2" s="63" t="s">
        <v>99</v>
      </c>
      <c r="AH2" s="64" t="s">
        <v>130</v>
      </c>
      <c r="AI2" s="64" t="s">
        <v>130</v>
      </c>
      <c r="AJ2" s="64" t="s">
        <v>130</v>
      </c>
      <c r="AK2" s="64" t="s">
        <v>130</v>
      </c>
      <c r="AL2" s="64" t="s">
        <v>130</v>
      </c>
      <c r="AM2" s="64" t="s">
        <v>130</v>
      </c>
      <c r="AN2" s="64" t="s">
        <v>130</v>
      </c>
      <c r="AO2" s="64" t="s">
        <v>130</v>
      </c>
      <c r="AP2" s="64" t="s">
        <v>130</v>
      </c>
      <c r="AQ2" s="64" t="s">
        <v>130</v>
      </c>
      <c r="AR2" s="65" t="s">
        <v>162</v>
      </c>
      <c r="AS2" s="65" t="s">
        <v>162</v>
      </c>
      <c r="AT2" s="65" t="s">
        <v>162</v>
      </c>
      <c r="AU2" s="65" t="s">
        <v>162</v>
      </c>
      <c r="AV2" s="65" t="s">
        <v>162</v>
      </c>
      <c r="AW2" s="65" t="s">
        <v>162</v>
      </c>
      <c r="AX2" s="65" t="s">
        <v>162</v>
      </c>
      <c r="AY2" s="65" t="s">
        <v>162</v>
      </c>
      <c r="AZ2" s="65" t="s">
        <v>162</v>
      </c>
      <c r="BA2" s="65" t="s">
        <v>162</v>
      </c>
    </row>
    <row r="3" spans="1:53" ht="21.95" customHeight="1">
      <c r="A3" s="66" t="s">
        <v>194</v>
      </c>
      <c r="B3" s="66" t="s">
        <v>195</v>
      </c>
      <c r="C3" s="66" t="s">
        <v>196</v>
      </c>
      <c r="D3" s="4" t="s">
        <v>28</v>
      </c>
      <c r="E3" s="4" t="s">
        <v>35</v>
      </c>
      <c r="F3" s="4" t="s">
        <v>38</v>
      </c>
      <c r="G3" s="4" t="s">
        <v>43</v>
      </c>
      <c r="H3" s="4" t="s">
        <v>46</v>
      </c>
      <c r="I3" s="4" t="s">
        <v>48</v>
      </c>
      <c r="J3" s="4" t="s">
        <v>51</v>
      </c>
      <c r="K3" s="4" t="s">
        <v>54</v>
      </c>
      <c r="L3" s="4" t="s">
        <v>57</v>
      </c>
      <c r="M3" s="67" t="s">
        <v>60</v>
      </c>
      <c r="N3" s="4" t="s">
        <v>67</v>
      </c>
      <c r="O3" s="4" t="s">
        <v>71</v>
      </c>
      <c r="P3" s="4" t="s">
        <v>74</v>
      </c>
      <c r="Q3" s="4" t="s">
        <v>77</v>
      </c>
      <c r="R3" s="4" t="s">
        <v>80</v>
      </c>
      <c r="S3" s="4" t="s">
        <v>82</v>
      </c>
      <c r="T3" s="4" t="s">
        <v>85</v>
      </c>
      <c r="U3" s="4" t="s">
        <v>88</v>
      </c>
      <c r="V3" s="4" t="s">
        <v>91</v>
      </c>
      <c r="W3" s="67" t="s">
        <v>94</v>
      </c>
      <c r="X3" s="4" t="s">
        <v>98</v>
      </c>
      <c r="Y3" s="4" t="s">
        <v>102</v>
      </c>
      <c r="Z3" s="4" t="s">
        <v>105</v>
      </c>
      <c r="AA3" s="4" t="s">
        <v>108</v>
      </c>
      <c r="AB3" s="4" t="s">
        <v>111</v>
      </c>
      <c r="AC3" s="4" t="s">
        <v>114</v>
      </c>
      <c r="AD3" s="4" t="s">
        <v>117</v>
      </c>
      <c r="AE3" s="4" t="s">
        <v>120</v>
      </c>
      <c r="AF3" s="4" t="s">
        <v>122</v>
      </c>
      <c r="AG3" s="4" t="s">
        <v>125</v>
      </c>
      <c r="AH3" s="4" t="s">
        <v>129</v>
      </c>
      <c r="AI3" s="4" t="s">
        <v>133</v>
      </c>
      <c r="AJ3" s="4" t="s">
        <v>136</v>
      </c>
      <c r="AK3" s="4" t="s">
        <v>139</v>
      </c>
      <c r="AL3" s="4" t="s">
        <v>142</v>
      </c>
      <c r="AM3" s="4" t="s">
        <v>145</v>
      </c>
      <c r="AN3" s="4" t="s">
        <v>148</v>
      </c>
      <c r="AO3" s="4" t="s">
        <v>151</v>
      </c>
      <c r="AP3" s="4" t="s">
        <v>154</v>
      </c>
      <c r="AQ3" s="67" t="s">
        <v>157</v>
      </c>
      <c r="AR3" s="4" t="s">
        <v>161</v>
      </c>
      <c r="AS3" s="4" t="s">
        <v>165</v>
      </c>
      <c r="AT3" s="4" t="s">
        <v>168</v>
      </c>
      <c r="AU3" s="4" t="s">
        <v>171</v>
      </c>
      <c r="AV3" s="4" t="s">
        <v>174</v>
      </c>
      <c r="AW3" s="4" t="s">
        <v>177</v>
      </c>
      <c r="AX3" s="4" t="s">
        <v>180</v>
      </c>
      <c r="AY3" s="4" t="s">
        <v>183</v>
      </c>
      <c r="AZ3" s="4" t="s">
        <v>186</v>
      </c>
      <c r="BA3" s="67" t="s">
        <v>189</v>
      </c>
    </row>
    <row r="4" spans="1:53" ht="21.95" customHeight="1">
      <c r="A4" s="68" t="s">
        <v>197</v>
      </c>
      <c r="B4" s="68" t="s">
        <v>197</v>
      </c>
      <c r="C4" s="68" t="s">
        <v>197</v>
      </c>
      <c r="D4" s="68" t="s">
        <v>198</v>
      </c>
      <c r="E4" s="68" t="s">
        <v>198</v>
      </c>
      <c r="F4" s="68" t="s">
        <v>199</v>
      </c>
      <c r="G4" s="68" t="s">
        <v>198</v>
      </c>
      <c r="H4" s="68" t="s">
        <v>198</v>
      </c>
      <c r="I4" s="68" t="s">
        <v>198</v>
      </c>
      <c r="J4" s="68" t="s">
        <v>198</v>
      </c>
      <c r="K4" s="68" t="s">
        <v>199</v>
      </c>
      <c r="L4" s="68" t="s">
        <v>198</v>
      </c>
      <c r="M4" s="68" t="s">
        <v>200</v>
      </c>
      <c r="N4" s="68" t="s">
        <v>198</v>
      </c>
      <c r="O4" s="68" t="s">
        <v>199</v>
      </c>
      <c r="P4" s="68" t="s">
        <v>198</v>
      </c>
      <c r="Q4" s="68" t="s">
        <v>198</v>
      </c>
      <c r="R4" s="68" t="s">
        <v>198</v>
      </c>
      <c r="S4" s="68" t="s">
        <v>198</v>
      </c>
      <c r="T4" s="68" t="s">
        <v>199</v>
      </c>
      <c r="U4" s="68" t="s">
        <v>198</v>
      </c>
      <c r="V4" s="68" t="s">
        <v>199</v>
      </c>
      <c r="W4" s="68" t="s">
        <v>200</v>
      </c>
      <c r="X4" s="68" t="s">
        <v>198</v>
      </c>
      <c r="Y4" s="68" t="s">
        <v>199</v>
      </c>
      <c r="Z4" s="68" t="s">
        <v>199</v>
      </c>
      <c r="AA4" s="68" t="s">
        <v>198</v>
      </c>
      <c r="AB4" s="68" t="s">
        <v>199</v>
      </c>
      <c r="AC4" s="68" t="s">
        <v>199</v>
      </c>
      <c r="AD4" s="68" t="s">
        <v>199</v>
      </c>
      <c r="AE4" s="68" t="s">
        <v>198</v>
      </c>
      <c r="AF4" s="68" t="s">
        <v>198</v>
      </c>
      <c r="AG4" s="68" t="s">
        <v>199</v>
      </c>
      <c r="AH4" s="68" t="s">
        <v>198</v>
      </c>
      <c r="AI4" s="68" t="s">
        <v>199</v>
      </c>
      <c r="AJ4" s="68" t="s">
        <v>198</v>
      </c>
      <c r="AK4" s="68" t="s">
        <v>198</v>
      </c>
      <c r="AL4" s="68" t="s">
        <v>198</v>
      </c>
      <c r="AM4" s="68" t="s">
        <v>198</v>
      </c>
      <c r="AN4" s="68" t="s">
        <v>199</v>
      </c>
      <c r="AO4" s="68" t="s">
        <v>198</v>
      </c>
      <c r="AP4" s="68" t="s">
        <v>198</v>
      </c>
      <c r="AQ4" s="68" t="s">
        <v>200</v>
      </c>
      <c r="AR4" s="68" t="s">
        <v>199</v>
      </c>
      <c r="AS4" s="68" t="s">
        <v>199</v>
      </c>
      <c r="AT4" s="68" t="s">
        <v>198</v>
      </c>
      <c r="AU4" s="68" t="s">
        <v>198</v>
      </c>
      <c r="AV4" s="68" t="s">
        <v>199</v>
      </c>
      <c r="AW4" s="68" t="s">
        <v>198</v>
      </c>
      <c r="AX4" s="68" t="s">
        <v>198</v>
      </c>
      <c r="AY4" s="68" t="s">
        <v>199</v>
      </c>
      <c r="AZ4" s="68" t="s">
        <v>199</v>
      </c>
      <c r="BA4" s="68" t="s">
        <v>200</v>
      </c>
    </row>
    <row r="5" spans="1:53" ht="51.95" customHeight="1">
      <c r="A5" s="85" t="s">
        <v>203</v>
      </c>
      <c r="B5" s="85" t="s">
        <v>204</v>
      </c>
      <c r="C5" s="85" t="s">
        <v>205</v>
      </c>
      <c r="D5" s="70">
        <v>2</v>
      </c>
      <c r="E5" s="70">
        <v>3</v>
      </c>
      <c r="F5" s="86">
        <v>4</v>
      </c>
      <c r="G5" s="70">
        <v>2</v>
      </c>
      <c r="H5" s="70">
        <v>2</v>
      </c>
      <c r="I5" s="70">
        <v>2</v>
      </c>
      <c r="J5" s="70">
        <v>3</v>
      </c>
      <c r="K5" s="86">
        <v>4</v>
      </c>
      <c r="L5" s="70">
        <v>2</v>
      </c>
      <c r="M5" s="87" t="s">
        <v>206</v>
      </c>
      <c r="N5" s="70">
        <v>3</v>
      </c>
      <c r="O5" s="86">
        <v>4</v>
      </c>
      <c r="P5" s="70">
        <v>2</v>
      </c>
      <c r="Q5" s="70">
        <v>3</v>
      </c>
      <c r="R5" s="70">
        <v>3</v>
      </c>
      <c r="S5" s="70">
        <v>3</v>
      </c>
      <c r="T5" s="86">
        <v>4</v>
      </c>
      <c r="U5" s="70">
        <v>2</v>
      </c>
      <c r="V5" s="86">
        <v>4</v>
      </c>
      <c r="W5" s="87" t="s">
        <v>207</v>
      </c>
      <c r="X5" s="70">
        <v>3</v>
      </c>
      <c r="Y5" s="86">
        <v>3</v>
      </c>
      <c r="Z5" s="86">
        <v>3</v>
      </c>
      <c r="AA5" s="70">
        <v>3</v>
      </c>
      <c r="AB5" s="86">
        <v>2</v>
      </c>
      <c r="AC5" s="86">
        <v>3</v>
      </c>
      <c r="AD5" s="86">
        <v>3</v>
      </c>
      <c r="AE5" s="70">
        <v>2</v>
      </c>
      <c r="AF5" s="70">
        <v>2</v>
      </c>
      <c r="AG5" s="86">
        <v>3</v>
      </c>
      <c r="AH5" s="70">
        <v>3</v>
      </c>
      <c r="AI5" s="86">
        <v>4</v>
      </c>
      <c r="AJ5" s="70">
        <v>3</v>
      </c>
      <c r="AK5" s="70">
        <v>2</v>
      </c>
      <c r="AL5" s="70">
        <v>2</v>
      </c>
      <c r="AM5" s="70">
        <v>3</v>
      </c>
      <c r="AN5" s="86">
        <v>3</v>
      </c>
      <c r="AO5" s="70">
        <v>3</v>
      </c>
      <c r="AP5" s="70">
        <v>3</v>
      </c>
      <c r="AQ5" s="87" t="s">
        <v>208</v>
      </c>
      <c r="AR5" s="86">
        <v>4</v>
      </c>
      <c r="AS5" s="86">
        <v>4</v>
      </c>
      <c r="AT5" s="70">
        <v>2</v>
      </c>
      <c r="AU5" s="70">
        <v>3</v>
      </c>
      <c r="AV5" s="86">
        <v>3</v>
      </c>
      <c r="AW5" s="70">
        <v>2</v>
      </c>
      <c r="AX5" s="70">
        <v>2</v>
      </c>
      <c r="AY5" s="86">
        <v>3</v>
      </c>
      <c r="AZ5" s="86">
        <v>3</v>
      </c>
      <c r="BA5" s="87" t="s">
        <v>209</v>
      </c>
    </row>
    <row r="7" spans="1:53" ht="36" customHeight="1">
      <c r="A7" s="98" t="s">
        <v>210</v>
      </c>
      <c r="B7" s="99"/>
      <c r="C7" s="99"/>
      <c r="D7" s="99"/>
      <c r="E7" s="99"/>
    </row>
  </sheetData>
  <mergeCells count="1">
    <mergeCell ref="A7:E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34b15c-c02c-4e79-b353-8caca45ac009" xsi:nil="true"/>
    <lcf76f155ced4ddcb4097134ff3c332f xmlns="4ca70cca-4f68-4165-ae4f-8089d02f1cd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7E9F5DE00C4664B87F5FFDDF1FD135B" ma:contentTypeVersion="13" ma:contentTypeDescription="Create a new document." ma:contentTypeScope="" ma:versionID="7ddc23a501e951875c51649b9d15410c">
  <xsd:schema xmlns:xsd="http://www.w3.org/2001/XMLSchema" xmlns:xs="http://www.w3.org/2001/XMLSchema" xmlns:p="http://schemas.microsoft.com/office/2006/metadata/properties" xmlns:ns2="4ca70cca-4f68-4165-ae4f-8089d02f1cda" xmlns:ns3="4c34b15c-c02c-4e79-b353-8caca45ac009" targetNamespace="http://schemas.microsoft.com/office/2006/metadata/properties" ma:root="true" ma:fieldsID="dcf957a4f67b7752a00a5a88b0598f3c" ns2:_="" ns3:_="">
    <xsd:import namespace="4ca70cca-4f68-4165-ae4f-8089d02f1cda"/>
    <xsd:import namespace="4c34b15c-c02c-4e79-b353-8caca45ac0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70cca-4f68-4165-ae4f-8089d02f1c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9178df0-2f15-4682-bb88-9b2f7e5e1d7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34b15c-c02c-4e79-b353-8caca45ac00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f8e45e3-fa92-479c-a4e0-c10202bfa97e}" ma:internalName="TaxCatchAll" ma:showField="CatchAllData" ma:web="4c34b15c-c02c-4e79-b353-8caca45ac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1E6E5A-51FC-47CD-82B5-E01041A6935B}"/>
</file>

<file path=customXml/itemProps2.xml><?xml version="1.0" encoding="utf-8"?>
<ds:datastoreItem xmlns:ds="http://schemas.openxmlformats.org/officeDocument/2006/customXml" ds:itemID="{74B22C6F-009E-470A-BCED-75573E5BF552}"/>
</file>

<file path=customXml/itemProps3.xml><?xml version="1.0" encoding="utf-8"?>
<ds:datastoreItem xmlns:ds="http://schemas.openxmlformats.org/officeDocument/2006/customXml" ds:itemID="{5A83F4E6-E7F6-4F1D-BE0C-C23E613654F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kiran nune</cp:lastModifiedBy>
  <cp:revision/>
  <dcterms:created xsi:type="dcterms:W3CDTF">2026-04-24T04:58:35Z</dcterms:created>
  <dcterms:modified xsi:type="dcterms:W3CDTF">2026-05-22T04:48:40Z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0x01010087E9F5DE00C4664B87F5FFDDF1FD135B</vt:lpwstr>
  </property>
  <property fmtid="{D5CDD505-2E9C-101B-9397-08002B2CF9AE}" pid="3" name="MediaServiceImageTags">
    <vt:lpwstr/>
  </property>
</Properties>
</file>