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1" documentId="11_460633A08D2DDFDDA5D8075E89EA0A979AB0A0CF" xr6:coauthVersionLast="47" xr6:coauthVersionMax="47" xr10:uidLastSave="{08FA48C9-EF3B-4E3C-9E09-2AB0ABEEADFD}"/>
  <bookViews>
    <workbookView xWindow="0" yWindow="0" windowWidth="0" windowHeight="0" xr2:uid="{00000000-000D-0000-FFFF-FFFF00000000}"/>
  </bookViews>
  <sheets>
    <sheet name="README" sheetId="1" r:id="rId1"/>
    <sheet name="1 · Survey Input" sheetId="2" r:id="rId2"/>
    <sheet name="2 · P1 Score Triage" sheetId="3" r:id="rId3"/>
    <sheet name="3 · P2 Open Text" sheetId="4" r:id="rId4"/>
    <sheet name="4 · P3 Cross-Validate" sheetId="5" r:id="rId5"/>
    <sheet name="5 · P4 Journey Map" sheetId="6" r:id="rId6"/>
    <sheet name="6 · P5 Registry + AI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7" l="1"/>
  <c r="H15" i="7" s="1"/>
  <c r="G14" i="7"/>
  <c r="H14" i="7" s="1"/>
  <c r="G13" i="7"/>
  <c r="H13" i="7" s="1"/>
  <c r="G12" i="7"/>
  <c r="H12" i="7" s="1"/>
  <c r="H6" i="5"/>
  <c r="I6" i="5" s="1"/>
  <c r="H5" i="5"/>
  <c r="I5" i="5" s="1"/>
  <c r="H4" i="5"/>
  <c r="I4" i="5" s="1"/>
  <c r="D8" i="4"/>
  <c r="E8" i="4" s="1"/>
  <c r="D7" i="4"/>
  <c r="E7" i="4" s="1"/>
  <c r="D6" i="4"/>
  <c r="E6" i="4" s="1"/>
  <c r="D5" i="4"/>
  <c r="E5" i="4" s="1"/>
  <c r="D4" i="4"/>
  <c r="E4" i="4" s="1"/>
  <c r="G8" i="3"/>
  <c r="F8" i="3"/>
  <c r="C8" i="3"/>
  <c r="B8" i="3"/>
  <c r="G7" i="3"/>
  <c r="F7" i="3"/>
  <c r="C7" i="3"/>
  <c r="B7" i="3"/>
  <c r="G6" i="3"/>
  <c r="F6" i="3"/>
  <c r="C6" i="3"/>
  <c r="B6" i="3"/>
  <c r="G5" i="3"/>
  <c r="F5" i="3"/>
  <c r="C5" i="3"/>
  <c r="B5" i="3"/>
  <c r="I4" i="3"/>
  <c r="G4" i="3"/>
  <c r="F4" i="3"/>
  <c r="C4" i="3"/>
  <c r="B4" i="3"/>
  <c r="D16" i="2"/>
  <c r="E8" i="3" s="1"/>
  <c r="D15" i="2"/>
  <c r="E7" i="3" s="1"/>
  <c r="D14" i="2"/>
  <c r="E6" i="3" s="1"/>
  <c r="D13" i="2"/>
  <c r="E5" i="3" s="1"/>
  <c r="D12" i="2"/>
  <c r="E4" i="3" s="1"/>
  <c r="H4" i="3" l="1"/>
  <c r="D4" i="3"/>
  <c r="H5" i="3"/>
  <c r="D5" i="3"/>
  <c r="H6" i="3"/>
  <c r="D6" i="3"/>
  <c r="H7" i="3"/>
  <c r="D7" i="3"/>
  <c r="H8" i="3"/>
  <c r="D8" i="3"/>
  <c r="B19" i="7"/>
  <c r="B18" i="7"/>
</calcChain>
</file>

<file path=xl/sharedStrings.xml><?xml version="1.0" encoding="utf-8"?>
<sst xmlns="http://schemas.openxmlformats.org/spreadsheetml/2006/main" count="327" uniqueCount="282">
  <si>
    <t>SPACE Survey → Five-Phase Blocker Registry System  ·  Land O'Lakes Engineering  ·  Q2 2025</t>
  </si>
  <si>
    <t>HOW TO USE THIS WORKBOOK</t>
  </si>
  <si>
    <t>Sheet 1 → Survey Input  —  Enter five SPACE dimension scores and metadata. All downstream sheets update via formula references.</t>
  </si>
  <si>
    <t>Sheet 2 → Phase 1: Score Triage  —  Automatic triage: score range bands, priority flags, cross-pattern detection, and executive summary.</t>
  </si>
  <si>
    <t>Sheet 3 → Phase 2: Open Text Analysis  —  Enter open text themes, frequency counts, and JTBD extractions. 30% threshold auto-applied.</t>
  </si>
  <si>
    <t>Sheet 4 → Phase 3: Cross-Validation  —  Enter quantitative signal data. Triangulation gate auto-computes confirmation count per blocker.</t>
  </si>
  <si>
    <t>Sheet 5 → Phase 4: Journey Mapping  —  Document journey mapping session findings, dot-vote rankings, and 5-Whys root causes.</t>
  </si>
  <si>
    <t>Sheet 6 → Phase 5: Blocker Registry  —  Auto-populated registry with AI feasibility scoring matrix and opportunity classification.</t>
  </si>
  <si>
    <t>WORKED EXAMPLE  —  All sheets are pre-populated with a realistic Land O'Lakes Engineering example (38 respondents, Q2 2025).</t>
  </si>
  <si>
    <t>EDIT SCORES  —  Change the five dimension scores in Sheet 1 cells B5:B9. All downstream analysis updates automatically via formulas.</t>
  </si>
  <si>
    <t>▶  SCORE RANGE BANDS</t>
  </si>
  <si>
    <t>1.0 – 2.0  →  Critical  —  Emergency track. 48hr deep-dive. Immediate journey mapping within 5 days.</t>
  </si>
  <si>
    <t>2.1 – 2.9  →  Significant  —  Structured investigation within 2 weeks. Cross-validate with 2+ quantitative signals.</t>
  </si>
  <si>
    <t>3.0 – 3.4  →  Moderate  —  Monitor trend. Explore in next cycle. Watch for decline.</t>
  </si>
  <si>
    <t>3.5 – 4.2  →  Healthy  —  Cross-validate with DORA. Watch for drift between cycles.</t>
  </si>
  <si>
    <t>4.3 – 5.0  →  Excellent  —  Benchmark and document what is working. Replicate across teams.</t>
  </si>
  <si>
    <t>REVERSE SCORING NOTE  —  Activity (Q22,23,25,26,27,30) and Communication (Q32,37) and Efficiency (Q41,42,45,48,49) include reverse-scored questions. Formula: reversed score = 6 − raw score. This ensures 5 always = best outcome across all questions.</t>
  </si>
  <si>
    <t>SPACE Survey — Input &amp; Metadata  ·  Edit cells in Column B</t>
  </si>
  <si>
    <t>METADATA</t>
  </si>
  <si>
    <t>VALUE</t>
  </si>
  <si>
    <t>NOTES</t>
  </si>
  <si>
    <t>Organisation</t>
  </si>
  <si>
    <t>Land O'Lakes Engineering</t>
  </si>
  <si>
    <t>Name of the org or team surveyed</t>
  </si>
  <si>
    <t>Survey Cycle</t>
  </si>
  <si>
    <t>Q2 2025</t>
  </si>
  <si>
    <t>Quarter and year</t>
  </si>
  <si>
    <t>Respondents</t>
  </si>
  <si>
    <t>Total number of developers who completed the survey</t>
  </si>
  <si>
    <t>Response Rate</t>
  </si>
  <si>
    <t>76%</t>
  </si>
  <si>
    <t>% of invited developers who responded</t>
  </si>
  <si>
    <t>Prev Cycle</t>
  </si>
  <si>
    <t>Q1 2025</t>
  </si>
  <si>
    <t>Prior survey cycle for trend comparison</t>
  </si>
  <si>
    <t>Survey Date Closed</t>
  </si>
  <si>
    <t>2025-05-09</t>
  </si>
  <si>
    <t>Date survey responses closed</t>
  </si>
  <si>
    <t>FIVE DIMENSION SCORES  ·  Enter averaged Likert scores (1.0 – 5.0)</t>
  </si>
  <si>
    <t>Dimension</t>
  </si>
  <si>
    <t>Score (1–5)</t>
  </si>
  <si>
    <t>Prev Score</t>
  </si>
  <si>
    <t>Trend</t>
  </si>
  <si>
    <t>S — Satisfaction</t>
  </si>
  <si>
    <t>P — Performance</t>
  </si>
  <si>
    <t>A — Activity</t>
  </si>
  <si>
    <t>C — Communication</t>
  </si>
  <si>
    <t>E — Efficiency</t>
  </si>
  <si>
    <t>SCORE RANGE REFERENCE</t>
  </si>
  <si>
    <t>1.0 – 2.0</t>
  </si>
  <si>
    <t>Critical</t>
  </si>
  <si>
    <t>2.1 – 2.9</t>
  </si>
  <si>
    <t>Significant friction</t>
  </si>
  <si>
    <t>3.0 – 3.4</t>
  </si>
  <si>
    <t>Moderate friction</t>
  </si>
  <si>
    <t>3.5 – 4.2</t>
  </si>
  <si>
    <t>Healthy</t>
  </si>
  <si>
    <t>4.3 – 5.0</t>
  </si>
  <si>
    <t>Excellent</t>
  </si>
  <si>
    <t>PHASE 1 — SCORE TRIAGE  ·  Day 1: Apply range bands · Flag P1 · Check cross-patterns · Brief VP Eng</t>
  </si>
  <si>
    <t>Activities: (1) Apply range bands  (2) Cross-pattern check  (3) Psych safety gate Q7  (4) Send exec summary same day</t>
  </si>
  <si>
    <t>Score</t>
  </si>
  <si>
    <t>Range Band</t>
  </si>
  <si>
    <t>Priority</t>
  </si>
  <si>
    <t>Drop &gt; 0.4?</t>
  </si>
  <si>
    <t>Cross-Pattern Alert</t>
  </si>
  <si>
    <t>Action Required</t>
  </si>
  <si>
    <t>Psych Safety Flag</t>
  </si>
  <si>
    <t>—</t>
  </si>
  <si>
    <t>PHASE 2 — OPEN TEXT ANALYSIS  ·  Days 1–3: Cluster themes · 30% threshold · JTBD extraction</t>
  </si>
  <si>
    <t>30% threshold: theme mentioned by ≥30% of respondents = Promoted to Phase 3. 15-29% = Investigate. &lt;15% = Monitor only.</t>
  </si>
  <si>
    <t>Theme Description</t>
  </si>
  <si>
    <t>Survey Question(s)</t>
  </si>
  <si>
    <t>Respondents Mentioning</t>
  </si>
  <si>
    <t>% of Total</t>
  </si>
  <si>
    <t>Threshold Status</t>
  </si>
  <si>
    <t>Verbatim Quote (preserve exact language)</t>
  </si>
  <si>
    <t>JTBD Statement Extracted</t>
  </si>
  <si>
    <t>Build pipeline failures &amp; cryptic error messages</t>
  </si>
  <si>
    <t>Q50 (Efficiency)</t>
  </si>
  <si>
    <t>"I spent most of Tuesday decoding a stack trace that said 'exit code 1'. No context, no pointer. Eventually found it was a flaky integration test unrelated to my change."</t>
  </si>
  <si>
    <t>When a CI build fails, I want to understand what broke and why in plain English so that I can fix it in under 5 minutes instead of 45.</t>
  </si>
  <si>
    <t>Codebase onboarding friction — understanding unfamiliar services</t>
  </si>
  <si>
    <t>Q10 (Satisfaction)</t>
  </si>
  <si>
    <t>"Every time I pick up a ticket in Precision Ag I spend half a day just reading code. There's no documentation, no README that's current."</t>
  </si>
  <si>
    <t>When I pick up a ticket in an unfamiliar service, I want to understand its purpose, entry points, and key dependencies in under 5 minutes without reading all the source code.</t>
  </si>
  <si>
    <t>Unclear requirements causing mid-sprint rework</t>
  </si>
  <si>
    <t>Q40 (Communication)</t>
  </si>
  <si>
    <t>"We start coding and find out the AC was wrong. I've rewritten the same feature three times this quarter because the ticket said one thing and the stakeholder meant another."</t>
  </si>
  <si>
    <t>When a ticket moves to In Progress, I want to see a structured acceptance criteria checklist so that I can identify ambiguity before writing a single line of code.</t>
  </si>
  <si>
    <t>Incident RCA taking 2-3 hours before remediation</t>
  </si>
  <si>
    <t>"When something breaks in the Supply Chain API I spend the first two hours figuring out which deployment caused it. By then I'm already 3 hours into an incident."</t>
  </si>
  <si>
    <t>When a P1 incident fires, I want to see the most likely root cause with supporting evidence so that I can begin remediation within 10 minutes of the alert.</t>
  </si>
  <si>
    <t>Test environment provisioning delays (2-3 hrs)</t>
  </si>
  <si>
    <t>Q20 (Performance)</t>
  </si>
  <si>
    <t>"Sometimes I wait 2-3 hours for a test environment. Not every sprint but when it happens it kills my flow for the rest of the day."</t>
  </si>
  <si>
    <t>When I need a test environment, I want it to be available within 5 minutes so that I don't lose my coding context while waiting.</t>
  </si>
  <si>
    <t>PHASE 3 — QUANTITATIVE CROSS-VALIDATION  ·  Days 2–4: Pull DORA · Pipeline · PR data · IDE telemetry</t>
  </si>
  <si>
    <t>Triangulation gate: A blocker enters the registry ONLY when ≥2 independent signal types agree. Enter data in yellow cells.</t>
  </si>
  <si>
    <t>Candidate Blocker</t>
  </si>
  <si>
    <t>Survey Signal</t>
  </si>
  <si>
    <t>Survey Sub-Score</t>
  </si>
  <si>
    <t>Quant Data (DORA/Pipeline)</t>
  </si>
  <si>
    <t>Quant Value</t>
  </si>
  <si>
    <t>Open Text Frequency</t>
  </si>
  <si>
    <t>Open Text Threshold</t>
  </si>
  <si>
    <t>Confirmed Sources (count)</t>
  </si>
  <si>
    <t>Registry Decision</t>
  </si>
  <si>
    <t>Build pipeline errors &amp; flaky tests</t>
  </si>
  <si>
    <t>E score low</t>
  </si>
  <si>
    <t>2.2 / 5.0</t>
  </si>
  <si>
    <t>Avg build time + flaky test rate</t>
  </si>
  <si>
    <t>38 min / 22% flaky</t>
  </si>
  <si>
    <t>47% (18/38)</t>
  </si>
  <si>
    <t>≥30%</t>
  </si>
  <si>
    <t>Codebase onboarding friction</t>
  </si>
  <si>
    <t>E+P score low</t>
  </si>
  <si>
    <t>E:2.2 P:3.1</t>
  </si>
  <si>
    <t>IDE telemetry — avg session length</t>
  </si>
  <si>
    <t>11 min avg session</t>
  </si>
  <si>
    <t>42% (16/38)</t>
  </si>
  <si>
    <t>Requirements clarity / rework loops</t>
  </si>
  <si>
    <t>C score low</t>
  </si>
  <si>
    <t>2.6 / 5.0</t>
  </si>
  <si>
    <t>PR iteration count (avg per PR)</t>
  </si>
  <si>
    <t>3.2 iterations avg</t>
  </si>
  <si>
    <t>34% (13/38)</t>
  </si>
  <si>
    <t>Incident RCA speed</t>
  </si>
  <si>
    <t>E score low (partial)</t>
  </si>
  <si>
    <t>MTTR from PagerDuty</t>
  </si>
  <si>
    <t>3.1 hrs avg MTTR</t>
  </si>
  <si>
    <t>29% (11/38)</t>
  </si>
  <si>
    <t>15-29%</t>
  </si>
  <si>
    <t>2 of 3</t>
  </si>
  <si>
    <t>✓ P2 Registry</t>
  </si>
  <si>
    <t>Test env provisioning delays</t>
  </si>
  <si>
    <t>P score partial</t>
  </si>
  <si>
    <t>3.1 / 5.0</t>
  </si>
  <si>
    <t>No data captured</t>
  </si>
  <si>
    <t>18% (7/38)</t>
  </si>
  <si>
    <t>&lt;30%</t>
  </si>
  <si>
    <t>1 of 3</t>
  </si>
  <si>
    <t>Investigate further</t>
  </si>
  <si>
    <t>On-call rotation imbalance</t>
  </si>
  <si>
    <t>C Q39 low</t>
  </si>
  <si>
    <t>C sub-score</t>
  </si>
  <si>
    <t>&lt;15%</t>
  </si>
  <si>
    <t>Monitor — not AI fix</t>
  </si>
  <si>
    <t>PHASE 4 — JOURNEY MAPPING WORKSHOPS  ·  Days 5–10: Walk the journey · Dot vote · 5-Whys root cause</t>
  </si>
  <si>
    <t>For each session: recruit 6-8 devs from lowest-scoring teams. DO NOT show scores before narration. Map steps → annotate friction → dot vote → 5-Whys on top 3.</t>
  </si>
  <si>
    <t>Journey Step</t>
  </si>
  <si>
    <t>Avg Time</t>
  </si>
  <si>
    <t>Friction Type</t>
  </si>
  <si>
    <t>Dot Votes (of 40)</t>
  </si>
  <si>
    <t>Developer Quote</t>
  </si>
  <si>
    <t>5-Whys Root Cause</t>
  </si>
  <si>
    <t>Blocker Confirmed?</t>
  </si>
  <si>
    <t>JTBD Statement for Step 3</t>
  </si>
  <si>
    <t>Pick up ticket (Jira) — read description</t>
  </si>
  <si>
    <t>15 min</t>
  </si>
  <si>
    <t>🟢 Smooth</t>
  </si>
  <si>
    <t>0 dots</t>
  </si>
  <si>
    <t>Ticket exists and is readable. No issues.</t>
  </si>
  <si>
    <t>N/A</t>
  </si>
  <si>
    <t>No blocker</t>
  </si>
  <si>
    <t>Understand the affected service / codebase</t>
  </si>
  <si>
    <t>3.5 hours</t>
  </si>
  <si>
    <t>🔴 Major Pain</t>
  </si>
  <si>
    <t>7 / 8 dots</t>
  </si>
  <si>
    <t>"I have to read every file in the service to understand what it does. README is 2 years out of date. No one has updated it."</t>
  </si>
  <si>
    <t>Root: No automated documentation or AI-assisted explanation tool. Developers use source code reading as primary understanding mechanism. No codebase Q&amp;A agent exists.</t>
  </si>
  <si>
    <t>✓ Confirmed P1</t>
  </si>
  <si>
    <t>When I pick up a ticket in an unfamiliar service, I want to understand its purpose and entry points in under 5 min without reading all source code.</t>
  </si>
  <si>
    <t>Write code and unit tests</t>
  </si>
  <si>
    <t>4 hours</t>
  </si>
  <si>
    <t>1 dot</t>
  </si>
  <si>
    <t>Once the codebase is understood, actual coding is fast. Tests are straightforward.</t>
  </si>
  <si>
    <t>N/A — no blocker at this step</t>
  </si>
  <si>
    <t>Submit PR → wait for CI/CD build</t>
  </si>
  <si>
    <t>38 min wait</t>
  </si>
  <si>
    <t>🔴 Pain</t>
  </si>
  <si>
    <t>6 / 8 dots</t>
  </si>
  <si>
    <t>"Half the time it fails for a test that has nothing to do with my change. I just re-run it three times and hope."</t>
  </si>
  <si>
    <t>Root: No test impact analysis — full suite runs on every PR. 22% of failures are flaky tests unrelated to the change. No AI explanation of failure message.</t>
  </si>
  <si>
    <t>When CI fails, I want to know which test failed and why in plain English so I can fix or dismiss it in 5 minutes.</t>
  </si>
  <si>
    <t>Address code review comments → iterate</t>
  </si>
  <si>
    <t>Avg 3.2 cycles</t>
  </si>
  <si>
    <t>🟡 Wait</t>
  </si>
  <si>
    <t>4 / 8 dots</t>
  </si>
  <si>
    <t>"Review comments contradict each other. One reviewer wants it one way, another wants the opposite. No consistent standard."</t>
  </si>
  <si>
    <t>Root: No automated first-pass review to normalise standards. Reviewers apply personal preferences. No AI pre-review before human review.</t>
  </si>
  <si>
    <t>✓ Confirmed P2</t>
  </si>
  <si>
    <t>When I submit a PR, I want a consistent first-pass review completed within 5 minutes so human reviewers focus on architecture not style.</t>
  </si>
  <si>
    <t>Deploy to production via approval gate</t>
  </si>
  <si>
    <t>2 hr wait</t>
  </si>
  <si>
    <t>3 / 8 dots</t>
  </si>
  <si>
    <t>"Low-risk changes go through the same full approval as high-risk ones. It's a one-size-fits-all gate."</t>
  </si>
  <si>
    <t>Root: No change risk scoring. All changes treated as equal risk. Manual CAB review applied universally.</t>
  </si>
  <si>
    <t>When I merge a low-risk change, I want it to skip manual approval and deploy automatically based on a risk score.</t>
  </si>
  <si>
    <t>PHASE 5 — VALIDATED BLOCKER REGISTRY + AI FEASIBILITY ASSESSMENT  ·  Days 10–14</t>
  </si>
  <si>
    <t>Registry: 2+ signal validated blockers. AI Feasibility: Tool Maturity 25% · Integration 20% · Cost 25% · Data 15% · Adoption 15%</t>
  </si>
  <si>
    <t>#</t>
  </si>
  <si>
    <t>Blocker</t>
  </si>
  <si>
    <t>SDLC Phase</t>
  </si>
  <si>
    <t>SPACE Dim</t>
  </si>
  <si>
    <t>Signal Sources</t>
  </si>
  <si>
    <t>Dev Reach</t>
  </si>
  <si>
    <t>Hrs/Sprint Lost</t>
  </si>
  <si>
    <t>AI Fit Flag</t>
  </si>
  <si>
    <t>AI Tool Candidate</t>
  </si>
  <si>
    <t>Coding</t>
  </si>
  <si>
    <t>E + P</t>
  </si>
  <si>
    <t>2.2</t>
  </si>
  <si>
    <t>Survey + IDE telemetry + Open text (3/3)</t>
  </si>
  <si>
    <t>~3.5 hrs</t>
  </si>
  <si>
    <t>YES</t>
  </si>
  <si>
    <t>P1</t>
  </si>
  <si>
    <t>GitHub Copilot + RAG</t>
  </si>
  <si>
    <t>Build/Test</t>
  </si>
  <si>
    <t>E</t>
  </si>
  <si>
    <t>Survey + CI/CD data + Open text (3/3)</t>
  </si>
  <si>
    <t>~2.8 hrs</t>
  </si>
  <si>
    <t>BuildPulse + Harness AI</t>
  </si>
  <si>
    <t>Planning</t>
  </si>
  <si>
    <t>C</t>
  </si>
  <si>
    <t>2.6</t>
  </si>
  <si>
    <t>Survey + PR iteration + Open text (3/3)</t>
  </si>
  <si>
    <t>~2.2 hrs</t>
  </si>
  <si>
    <t>Custom AC Agent on Jira</t>
  </si>
  <si>
    <t>Operations</t>
  </si>
  <si>
    <t>Survey + MTTR data + Open text (2/3)</t>
  </si>
  <si>
    <t>~3.1 hrs/inc</t>
  </si>
  <si>
    <t>P2</t>
  </si>
  <si>
    <t>PagerDuty AI + Splunk</t>
  </si>
  <si>
    <t>Unsustainable heroics / attrition</t>
  </si>
  <si>
    <t>All phases</t>
  </si>
  <si>
    <t>S + P</t>
  </si>
  <si>
    <t>2.4</t>
  </si>
  <si>
    <t>Survey + commit timestamps (2/3)</t>
  </si>
  <si>
    <t>S declining</t>
  </si>
  <si>
    <t>Retention cost</t>
  </si>
  <si>
    <t>NO — mgmt</t>
  </si>
  <si>
    <t>P2 non-AI</t>
  </si>
  <si>
    <t>Management coaching workstream</t>
  </si>
  <si>
    <t>AI FEASIBILITY SCORING MATRIX  ·  Top 4 AI-Fit Blockers  ·  Score 1–5 per dimension</t>
  </si>
  <si>
    <t>Tool Maturity (25%)</t>
  </si>
  <si>
    <t>Integration Ease (20%)</t>
  </si>
  <si>
    <t>Cost Efficiency (25%)</t>
  </si>
  <si>
    <t>Data Availability (15%)</t>
  </si>
  <si>
    <t>Dev Adoption (15%)</t>
  </si>
  <si>
    <t>Weighted Score</t>
  </si>
  <si>
    <t>Classification</t>
  </si>
  <si>
    <t>Recommended Tool</t>
  </si>
  <si>
    <t>Implementation Timeline</t>
  </si>
  <si>
    <t>Est. ROI Horizon</t>
  </si>
  <si>
    <t>Codebase onboarding</t>
  </si>
  <si>
    <t>GitHub Copilot Enterprise + RAG on codebase</t>
  </si>
  <si>
    <t>Weeks 11–18 (Step 3 now)</t>
  </si>
  <si>
    <t>~6 months</t>
  </si>
  <si>
    <t>Build pipeline errors</t>
  </si>
  <si>
    <t>BuildPulse (flaky) + Harness AI Autofix</t>
  </si>
  <si>
    <t>~4 months</t>
  </si>
  <si>
    <t>Requirements clarity</t>
  </si>
  <si>
    <t>Custom AC Agent on Jira (LLM + ticket history)</t>
  </si>
  <si>
    <t>Weeks 11–18 (Step 3 sprint 2)</t>
  </si>
  <si>
    <t>~8 months</t>
  </si>
  <si>
    <t>PagerDuty AI + Splunk ITSI correlation</t>
  </si>
  <si>
    <t>Q3 2025 (Step 3 sprint 3)</t>
  </si>
  <si>
    <t>~9 months</t>
  </si>
  <si>
    <t>PROGRAM OUTPUT SUMMARY  ·  Ranked AI Opportunity Map — Step 2 Complete</t>
  </si>
  <si>
    <t>Quick Wins identified</t>
  </si>
  <si>
    <t>Start Step 3 co-design immediately</t>
  </si>
  <si>
    <t>Strategic Bets identified</t>
  </si>
  <si>
    <t>Plan PoC sprint Q3</t>
  </si>
  <si>
    <t>Non-AI routes</t>
  </si>
  <si>
    <t>Heroics/attrition → management workstream</t>
  </si>
  <si>
    <t>Est. hrs/sprint recovered</t>
  </si>
  <si>
    <t>~8.5</t>
  </si>
  <si>
    <t>If Quick Wins deployed (3.5 + 2.8 + 2.2)</t>
  </si>
  <si>
    <t>Next step</t>
  </si>
  <si>
    <t>Step 3: Shape AI Solutions</t>
  </si>
  <si>
    <t>Run co-design sprint on codebase onboarding agent this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</si>
</sst>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0D1B2A"/>
      <name val="Calibri"/>
    </font>
    <font>
      <sz val="10"/>
      <color rgb="FF9A9080"/>
      <name val="Calibri"/>
    </font>
    <font>
      <b/>
      <sz val="10"/>
      <color rgb="FF0B7A75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0"/>
      <color rgb="FF9A908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2"/>
      <color rgb="FF0B7A75"/>
      <name val="Calibri"/>
    </font>
    <font>
      <b/>
      <sz val="14"/>
      <color rgb="FF000000"/>
      <name val="Calibri"/>
    </font>
    <font>
      <sz val="12"/>
      <color rgb="FF9A9080"/>
      <name val="Calibri"/>
    </font>
    <font>
      <sz val="10"/>
      <color rgb="FFB8320A"/>
      <name val="Calibri"/>
    </font>
    <font>
      <b/>
      <sz val="12"/>
      <color rgb="FF4A3080"/>
      <name val="Calibri"/>
    </font>
    <font>
      <b/>
      <sz val="12"/>
      <color rgb="FFB06A10"/>
      <name val="Calibri"/>
    </font>
    <font>
      <b/>
      <sz val="12"/>
      <color rgb="FFB8320A"/>
      <name val="Calibri"/>
    </font>
    <font>
      <b/>
      <sz val="12"/>
      <color rgb="FF0E4D8A"/>
      <name val="Calibri"/>
    </font>
    <font>
      <b/>
      <sz val="11"/>
      <color rgb="FFFFFFFF"/>
      <name val="Calibri"/>
    </font>
    <font>
      <b/>
      <sz val="11"/>
      <color rgb="FFB8320A"/>
      <name val="Calibri"/>
    </font>
    <font>
      <b/>
      <sz val="11"/>
      <color rgb="FFB06A10"/>
      <name val="Calibri"/>
    </font>
    <font>
      <b/>
      <sz val="11"/>
      <color rgb="FF7A5500"/>
      <name val="Calibri"/>
    </font>
    <font>
      <b/>
      <sz val="11"/>
      <color rgb="FF1A6B3C"/>
      <name val="Calibri"/>
    </font>
    <font>
      <b/>
      <sz val="11"/>
      <color rgb="FF0D47A1"/>
      <name val="Calibri"/>
    </font>
    <font>
      <sz val="10"/>
      <color rgb="FF333333"/>
      <name val="Calibri"/>
    </font>
    <font>
      <b/>
      <sz val="10"/>
      <color rgb="FF4A3080"/>
      <name val="Calibri"/>
    </font>
    <font>
      <b/>
      <sz val="10"/>
      <color rgb="FFB06A10"/>
      <name val="Calibri"/>
    </font>
    <font>
      <b/>
      <sz val="10"/>
      <color rgb="FFB8320A"/>
      <name val="Calibri"/>
    </font>
    <font>
      <b/>
      <sz val="10"/>
      <color rgb="FF0E4D8A"/>
      <name val="Calibri"/>
    </font>
    <font>
      <b/>
      <sz val="10"/>
      <color rgb="FF333333"/>
      <name val="Calibri"/>
    </font>
    <font>
      <b/>
      <sz val="9"/>
      <color rgb="FF333333"/>
      <name val="Calibri"/>
    </font>
    <font>
      <sz val="9"/>
      <color rgb="FF333333"/>
      <name val="Calibri"/>
    </font>
    <font>
      <b/>
      <sz val="10"/>
      <color rgb="FF1A6B3C"/>
      <name val="Calibri"/>
    </font>
    <font>
      <sz val="10"/>
      <color rgb="FF1A6B3C"/>
      <name val="Calibri"/>
    </font>
    <font>
      <sz val="10"/>
      <color rgb="FF2E7D32"/>
      <name val="Calibri"/>
    </font>
    <font>
      <sz val="10"/>
      <color rgb="FFF57F17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5E6C0"/>
      </patternFill>
    </fill>
    <fill>
      <patternFill patternType="solid">
        <fgColor rgb="FFF7F3ED"/>
      </patternFill>
    </fill>
    <fill>
      <patternFill patternType="solid">
        <fgColor rgb="FF1A3050"/>
      </patternFill>
    </fill>
    <fill>
      <patternFill patternType="solid">
        <fgColor rgb="FFFFFFFF"/>
      </patternFill>
    </fill>
    <fill>
      <patternFill patternType="solid">
        <fgColor rgb="FF0B7A75"/>
      </patternFill>
    </fill>
    <fill>
      <patternFill patternType="solid">
        <fgColor rgb="FFD6EFEE"/>
      </patternFill>
    </fill>
    <fill>
      <patternFill patternType="solid">
        <fgColor rgb="FFEEEAF8"/>
      </patternFill>
    </fill>
    <fill>
      <patternFill patternType="solid">
        <fgColor rgb="FFFBF0DC"/>
      </patternFill>
    </fill>
    <fill>
      <patternFill patternType="solid">
        <fgColor rgb="FFFAEDE8"/>
      </patternFill>
    </fill>
    <fill>
      <patternFill patternType="solid">
        <fgColor rgb="FFD6E8F8"/>
      </patternFill>
    </fill>
    <fill>
      <patternFill patternType="solid">
        <fgColor rgb="FFFFF9E0"/>
      </patternFill>
    </fill>
    <fill>
      <patternFill patternType="solid">
        <fgColor rgb="FFE0F2E9"/>
      </patternFill>
    </fill>
    <fill>
      <patternFill patternType="solid">
        <fgColor rgb="FFE3F2FD"/>
      </patternFill>
    </fill>
    <fill>
      <patternFill patternType="solid">
        <fgColor rgb="FFB8320A"/>
      </patternFill>
    </fill>
    <fill>
      <patternFill patternType="solid">
        <fgColor rgb="FFB06A10"/>
      </patternFill>
    </fill>
    <fill>
      <patternFill patternType="solid">
        <fgColor rgb="FF1A6B3C"/>
      </patternFill>
    </fill>
    <fill>
      <patternFill patternType="solid">
        <fgColor rgb="FFFFFDE7"/>
      </patternFill>
    </fill>
    <fill>
      <patternFill patternType="solid">
        <fgColor rgb="FF4A308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2" xfId="0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left" vertical="center"/>
    </xf>
    <xf numFmtId="0" fontId="22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left" vertical="center"/>
    </xf>
    <xf numFmtId="0" fontId="23" fillId="13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left" vertical="center"/>
    </xf>
    <xf numFmtId="0" fontId="24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left" vertical="center"/>
    </xf>
    <xf numFmtId="0" fontId="25" fillId="15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28" fillId="10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9" fillId="11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left" vertical="top" wrapText="1"/>
    </xf>
    <xf numFmtId="0" fontId="26" fillId="6" borderId="1" xfId="0" applyFont="1" applyFill="1" applyBorder="1" applyAlignment="1">
      <alignment horizontal="left" vertical="top" wrapText="1"/>
    </xf>
    <xf numFmtId="0" fontId="26" fillId="6" borderId="1" xfId="0" applyFont="1" applyFill="1" applyBorder="1" applyAlignment="1">
      <alignment horizontal="center" vertical="top" wrapText="1"/>
    </xf>
    <xf numFmtId="0" fontId="31" fillId="4" borderId="1" xfId="0" applyFont="1" applyFill="1" applyBorder="1" applyAlignment="1">
      <alignment horizontal="left" vertical="top" wrapText="1"/>
    </xf>
    <xf numFmtId="0" fontId="26" fillId="4" borderId="1" xfId="0" applyFont="1" applyFill="1" applyBorder="1" applyAlignment="1">
      <alignment horizontal="left" vertical="top" wrapText="1"/>
    </xf>
    <xf numFmtId="0" fontId="26" fillId="4" borderId="1" xfId="0" applyFont="1" applyFill="1" applyBorder="1" applyAlignment="1">
      <alignment horizontal="center" vertical="top" wrapText="1"/>
    </xf>
    <xf numFmtId="0" fontId="11" fillId="18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left" vertical="top" wrapText="1"/>
    </xf>
    <xf numFmtId="0" fontId="33" fillId="14" borderId="1" xfId="0" applyFont="1" applyFill="1" applyBorder="1" applyAlignment="1">
      <alignment horizontal="center" vertical="top" wrapText="1"/>
    </xf>
    <xf numFmtId="0" fontId="33" fillId="6" borderId="1" xfId="0" applyFont="1" applyFill="1" applyBorder="1" applyAlignment="1">
      <alignment horizontal="center" vertical="top" wrapText="1"/>
    </xf>
    <xf numFmtId="0" fontId="33" fillId="6" borderId="1" xfId="0" applyFont="1" applyFill="1" applyBorder="1" applyAlignment="1">
      <alignment horizontal="left" vertical="top" wrapText="1"/>
    </xf>
    <xf numFmtId="0" fontId="32" fillId="11" borderId="1" xfId="0" applyFont="1" applyFill="1" applyBorder="1" applyAlignment="1">
      <alignment horizontal="left" vertical="top" wrapText="1"/>
    </xf>
    <xf numFmtId="0" fontId="33" fillId="11" borderId="1" xfId="0" applyFont="1" applyFill="1" applyBorder="1" applyAlignment="1">
      <alignment horizontal="center" vertical="top" wrapText="1"/>
    </xf>
    <xf numFmtId="0" fontId="33" fillId="4" borderId="1" xfId="0" applyFont="1" applyFill="1" applyBorder="1" applyAlignment="1">
      <alignment horizontal="center" vertical="top" wrapText="1"/>
    </xf>
    <xf numFmtId="0" fontId="33" fillId="4" borderId="1" xfId="0" applyFont="1" applyFill="1" applyBorder="1" applyAlignment="1">
      <alignment horizontal="left" vertical="top" wrapText="1"/>
    </xf>
    <xf numFmtId="0" fontId="32" fillId="10" borderId="1" xfId="0" applyFont="1" applyFill="1" applyBorder="1" applyAlignment="1">
      <alignment horizontal="left" vertical="top" wrapText="1"/>
    </xf>
    <xf numFmtId="0" fontId="33" fillId="10" borderId="1" xfId="0" applyFont="1" applyFill="1" applyBorder="1" applyAlignment="1">
      <alignment horizontal="center" vertical="top" wrapText="1"/>
    </xf>
    <xf numFmtId="0" fontId="11" fillId="7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top" wrapText="1"/>
    </xf>
    <xf numFmtId="0" fontId="29" fillId="6" borderId="1" xfId="0" applyFont="1" applyFill="1" applyBorder="1" applyAlignment="1">
      <alignment horizontal="center" vertical="top" wrapText="1"/>
    </xf>
    <xf numFmtId="0" fontId="34" fillId="4" borderId="1" xfId="0" applyFont="1" applyFill="1" applyBorder="1" applyAlignment="1">
      <alignment horizontal="center" vertical="top" wrapText="1"/>
    </xf>
    <xf numFmtId="0" fontId="29" fillId="4" borderId="1" xfId="0" applyFont="1" applyFill="1" applyBorder="1" applyAlignment="1">
      <alignment horizontal="center" vertical="top" wrapText="1"/>
    </xf>
    <xf numFmtId="0" fontId="28" fillId="4" borderId="1" xfId="0" applyFont="1" applyFill="1" applyBorder="1" applyAlignment="1">
      <alignment horizontal="center" vertical="top" wrapText="1"/>
    </xf>
    <xf numFmtId="0" fontId="28" fillId="6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tabSelected="1" workbookViewId="0"/>
  </sheetViews>
  <sheetFormatPr defaultRowHeight="15"/>
  <cols>
    <col min="1" max="1" width="90" customWidth="1"/>
  </cols>
  <sheetData>
    <row r="1" spans="1:1" ht="39.950000000000003" customHeight="1">
      <c r="A1" s="110" t="s">
        <v>0</v>
      </c>
    </row>
    <row r="2" spans="1:1" ht="39.950000000000003" customHeight="1">
      <c r="A2" s="128"/>
    </row>
    <row r="3" spans="1:1" ht="20.100000000000001" customHeight="1">
      <c r="A3" s="1"/>
    </row>
    <row r="4" spans="1:1" ht="20.100000000000001" customHeight="1">
      <c r="A4" s="2" t="s">
        <v>1</v>
      </c>
    </row>
    <row r="5" spans="1:1" ht="20.100000000000001" customHeight="1">
      <c r="A5" s="3" t="s">
        <v>2</v>
      </c>
    </row>
    <row r="6" spans="1:1" ht="20.100000000000001" customHeight="1">
      <c r="A6" s="3" t="s">
        <v>3</v>
      </c>
    </row>
    <row r="7" spans="1:1" ht="20.100000000000001" customHeight="1">
      <c r="A7" s="3" t="s">
        <v>4</v>
      </c>
    </row>
    <row r="8" spans="1:1" ht="20.100000000000001" customHeight="1">
      <c r="A8" s="3" t="s">
        <v>5</v>
      </c>
    </row>
    <row r="9" spans="1:1" ht="20.100000000000001" customHeight="1">
      <c r="A9" s="3" t="s">
        <v>6</v>
      </c>
    </row>
    <row r="10" spans="1:1" ht="20.100000000000001" customHeight="1">
      <c r="A10" s="3" t="s">
        <v>7</v>
      </c>
    </row>
    <row r="11" spans="1:1" ht="20.100000000000001" customHeight="1">
      <c r="A11" s="1"/>
    </row>
    <row r="12" spans="1:1" ht="20.100000000000001" customHeight="1">
      <c r="A12" s="3" t="s">
        <v>8</v>
      </c>
    </row>
    <row r="13" spans="1:1" ht="20.100000000000001" customHeight="1">
      <c r="A13" s="3" t="s">
        <v>9</v>
      </c>
    </row>
    <row r="14" spans="1:1" ht="20.100000000000001" customHeight="1">
      <c r="A14" s="1"/>
    </row>
    <row r="15" spans="1:1" ht="20.100000000000001" customHeight="1">
      <c r="A15" s="4" t="s">
        <v>10</v>
      </c>
    </row>
    <row r="16" spans="1:1" ht="20.100000000000001" customHeight="1">
      <c r="A16" s="5" t="s">
        <v>11</v>
      </c>
    </row>
    <row r="17" spans="1:1" ht="20.100000000000001" customHeight="1">
      <c r="A17" s="5" t="s">
        <v>12</v>
      </c>
    </row>
    <row r="18" spans="1:1" ht="20.100000000000001" customHeight="1">
      <c r="A18" s="5" t="s">
        <v>13</v>
      </c>
    </row>
    <row r="19" spans="1:1" ht="20.100000000000001" customHeight="1">
      <c r="A19" s="5" t="s">
        <v>14</v>
      </c>
    </row>
    <row r="20" spans="1:1" ht="20.100000000000001" customHeight="1">
      <c r="A20" s="5" t="s">
        <v>15</v>
      </c>
    </row>
    <row r="21" spans="1:1" ht="20.100000000000001" customHeight="1">
      <c r="A21" s="1"/>
    </row>
    <row r="22" spans="1:1" ht="20.100000000000001" customHeight="1">
      <c r="A22" s="3" t="s">
        <v>16</v>
      </c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0" customWidth="1"/>
    <col min="2" max="2" width="20" customWidth="1"/>
    <col min="3" max="3" width="45" customWidth="1"/>
    <col min="4" max="4" width="22" customWidth="1"/>
  </cols>
  <sheetData>
    <row r="1" spans="1:4" ht="27.95" customHeight="1">
      <c r="A1" s="111" t="s">
        <v>17</v>
      </c>
      <c r="B1" s="128"/>
      <c r="C1" s="128"/>
      <c r="D1" s="128"/>
    </row>
    <row r="2" spans="1:4" ht="18" customHeight="1">
      <c r="A2" s="6" t="s">
        <v>18</v>
      </c>
      <c r="B2" s="6" t="s">
        <v>19</v>
      </c>
      <c r="C2" s="7" t="s">
        <v>20</v>
      </c>
      <c r="D2" s="8"/>
    </row>
    <row r="3" spans="1:4" ht="20.100000000000001" customHeight="1">
      <c r="A3" s="9" t="s">
        <v>21</v>
      </c>
      <c r="B3" s="10" t="s">
        <v>22</v>
      </c>
      <c r="C3" s="11" t="s">
        <v>23</v>
      </c>
      <c r="D3" s="12"/>
    </row>
    <row r="4" spans="1:4" ht="20.100000000000001" customHeight="1">
      <c r="A4" s="13" t="s">
        <v>24</v>
      </c>
      <c r="B4" s="14" t="s">
        <v>25</v>
      </c>
      <c r="C4" s="15" t="s">
        <v>26</v>
      </c>
      <c r="D4" s="16"/>
    </row>
    <row r="5" spans="1:4" ht="20.100000000000001" customHeight="1">
      <c r="A5" s="9" t="s">
        <v>27</v>
      </c>
      <c r="B5" s="10">
        <v>38</v>
      </c>
      <c r="C5" s="11" t="s">
        <v>28</v>
      </c>
      <c r="D5" s="12"/>
    </row>
    <row r="6" spans="1:4" ht="20.100000000000001" customHeight="1">
      <c r="A6" s="13" t="s">
        <v>29</v>
      </c>
      <c r="B6" s="14" t="s">
        <v>30</v>
      </c>
      <c r="C6" s="15" t="s">
        <v>31</v>
      </c>
      <c r="D6" s="16"/>
    </row>
    <row r="7" spans="1:4" ht="20.100000000000001" customHeight="1">
      <c r="A7" s="9" t="s">
        <v>32</v>
      </c>
      <c r="B7" s="10" t="s">
        <v>33</v>
      </c>
      <c r="C7" s="11" t="s">
        <v>34</v>
      </c>
      <c r="D7" s="12"/>
    </row>
    <row r="8" spans="1:4" ht="20.100000000000001" customHeight="1">
      <c r="A8" s="13" t="s">
        <v>35</v>
      </c>
      <c r="B8" s="14" t="s">
        <v>36</v>
      </c>
      <c r="C8" s="15" t="s">
        <v>37</v>
      </c>
      <c r="D8" s="16"/>
    </row>
    <row r="10" spans="1:4" ht="27.95" customHeight="1">
      <c r="A10" s="113" t="s">
        <v>38</v>
      </c>
      <c r="B10" s="128"/>
      <c r="C10" s="128"/>
      <c r="D10" s="128"/>
    </row>
    <row r="11" spans="1:4" ht="20.100000000000001" customHeight="1">
      <c r="A11" s="17" t="s">
        <v>39</v>
      </c>
      <c r="B11" s="17" t="s">
        <v>40</v>
      </c>
      <c r="C11" s="17" t="s">
        <v>41</v>
      </c>
      <c r="D11" s="17" t="s">
        <v>42</v>
      </c>
    </row>
    <row r="12" spans="1:4" ht="27.95" customHeight="1">
      <c r="A12" s="18" t="s">
        <v>43</v>
      </c>
      <c r="B12" s="19">
        <v>2.4</v>
      </c>
      <c r="C12" s="20">
        <v>2.7</v>
      </c>
      <c r="D12" s="21" t="str">
        <f>IF(B12-C12&lt;-0.39,"↓ Critical drop",IF(B12-C12&lt;0,"↓ Declining",IF(B12-C12=0,"→ Stable","↑ Improving")))</f>
        <v>↓ Declining</v>
      </c>
    </row>
    <row r="13" spans="1:4" ht="27.95" customHeight="1">
      <c r="A13" s="22" t="s">
        <v>44</v>
      </c>
      <c r="B13" s="23">
        <v>3.1</v>
      </c>
      <c r="C13" s="24">
        <v>3.1</v>
      </c>
      <c r="D13" s="25" t="str">
        <f>IF(B13-C13&lt;-0.39,"↓ Critical drop",IF(B13-C13&lt;0,"↓ Declining",IF(B13-C13=0,"→ Stable","↑ Improving")))</f>
        <v>→ Stable</v>
      </c>
    </row>
    <row r="14" spans="1:4" ht="27.95" customHeight="1">
      <c r="A14" s="26" t="s">
        <v>45</v>
      </c>
      <c r="B14" s="27">
        <v>3.8</v>
      </c>
      <c r="C14" s="28">
        <v>4.3</v>
      </c>
      <c r="D14" s="29" t="str">
        <f>IF(B14-C14&lt;-0.39,"↓ Critical drop",IF(B14-C14&lt;0,"↓ Declining",IF(B14-C14=0,"→ Stable","↑ Improving")))</f>
        <v>↓ Critical drop</v>
      </c>
    </row>
    <row r="15" spans="1:4" ht="27.95" customHeight="1">
      <c r="A15" s="30" t="s">
        <v>46</v>
      </c>
      <c r="B15" s="31">
        <v>2.6</v>
      </c>
      <c r="C15" s="32">
        <v>3</v>
      </c>
      <c r="D15" s="33" t="str">
        <f>IF(B15-C15&lt;-0.39,"↓ Critical drop",IF(B15-C15&lt;0,"↓ Declining",IF(B15-C15=0,"→ Stable","↑ Improving")))</f>
        <v>↓ Critical drop</v>
      </c>
    </row>
    <row r="16" spans="1:4" ht="27.95" customHeight="1">
      <c r="A16" s="34" t="s">
        <v>47</v>
      </c>
      <c r="B16" s="35">
        <v>2.2000000000000002</v>
      </c>
      <c r="C16" s="36">
        <v>2.8</v>
      </c>
      <c r="D16" s="37" t="str">
        <f>IF(B16-C16&lt;-0.39,"↓ Critical drop",IF(B16-C16&lt;0,"↓ Declining",IF(B16-C16=0,"→ Stable","↑ Improving")))</f>
        <v>↓ Critical drop</v>
      </c>
    </row>
    <row r="18" spans="1:4" ht="21.95" customHeight="1">
      <c r="A18" s="112" t="s">
        <v>48</v>
      </c>
      <c r="B18" s="128"/>
      <c r="C18" s="128"/>
      <c r="D18" s="128"/>
    </row>
    <row r="19" spans="1:4" ht="20.100000000000001" customHeight="1">
      <c r="A19" s="38" t="s">
        <v>49</v>
      </c>
      <c r="B19" s="39" t="s">
        <v>50</v>
      </c>
    </row>
    <row r="20" spans="1:4" ht="20.100000000000001" customHeight="1">
      <c r="A20" s="40" t="s">
        <v>51</v>
      </c>
      <c r="B20" s="41" t="s">
        <v>52</v>
      </c>
    </row>
    <row r="21" spans="1:4" ht="20.100000000000001" customHeight="1">
      <c r="A21" s="42" t="s">
        <v>53</v>
      </c>
      <c r="B21" s="43" t="s">
        <v>54</v>
      </c>
    </row>
    <row r="22" spans="1:4" ht="20.100000000000001" customHeight="1">
      <c r="A22" s="44" t="s">
        <v>55</v>
      </c>
      <c r="B22" s="45" t="s">
        <v>56</v>
      </c>
    </row>
    <row r="23" spans="1:4" ht="20.100000000000001" customHeight="1">
      <c r="A23" s="46" t="s">
        <v>57</v>
      </c>
      <c r="B23" s="47" t="s">
        <v>58</v>
      </c>
    </row>
  </sheetData>
  <mergeCells count="3">
    <mergeCell ref="A1:D1"/>
    <mergeCell ref="A18:D18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6" customWidth="1"/>
    <col min="2" max="2" width="10" customWidth="1"/>
    <col min="3" max="3" width="20" customWidth="1"/>
    <col min="4" max="4" width="12" customWidth="1"/>
    <col min="5" max="5" width="20" customWidth="1"/>
    <col min="6" max="6" width="14" customWidth="1"/>
    <col min="7" max="7" width="40" customWidth="1"/>
    <col min="8" max="8" width="38" customWidth="1"/>
    <col min="9" max="9" width="20" customWidth="1"/>
  </cols>
  <sheetData>
    <row r="1" spans="1:9" ht="30" customHeight="1">
      <c r="A1" s="114" t="s">
        <v>59</v>
      </c>
      <c r="B1" s="128"/>
      <c r="C1" s="128"/>
      <c r="D1" s="128"/>
      <c r="E1" s="128"/>
      <c r="F1" s="128"/>
      <c r="G1" s="128"/>
      <c r="H1" s="128"/>
      <c r="I1" s="128"/>
    </row>
    <row r="2" spans="1:9" ht="18" customHeight="1">
      <c r="A2" s="115" t="s">
        <v>60</v>
      </c>
      <c r="B2" s="129"/>
      <c r="C2" s="129"/>
      <c r="D2" s="129"/>
      <c r="E2" s="129"/>
      <c r="F2" s="129"/>
      <c r="G2" s="129"/>
      <c r="H2" s="129"/>
      <c r="I2" s="130"/>
    </row>
    <row r="3" spans="1:9" ht="21.95" customHeight="1">
      <c r="A3" s="48" t="s">
        <v>39</v>
      </c>
      <c r="B3" s="48" t="s">
        <v>61</v>
      </c>
      <c r="C3" s="48" t="s">
        <v>62</v>
      </c>
      <c r="D3" s="48" t="s">
        <v>63</v>
      </c>
      <c r="E3" s="48" t="s">
        <v>42</v>
      </c>
      <c r="F3" s="48" t="s">
        <v>64</v>
      </c>
      <c r="G3" s="48" t="s">
        <v>65</v>
      </c>
      <c r="H3" s="48" t="s">
        <v>66</v>
      </c>
      <c r="I3" s="48" t="s">
        <v>67</v>
      </c>
    </row>
    <row r="4" spans="1:9" ht="36" customHeight="1">
      <c r="A4" s="49" t="s">
        <v>43</v>
      </c>
      <c r="B4" s="50">
        <f>'1 · Survey Input'!B12</f>
        <v>2.4</v>
      </c>
      <c r="C4" s="51">
        <f>'1 · Survey Input'!B12</f>
        <v>2.4</v>
      </c>
      <c r="D4" s="50" t="str">
        <f>IF(B4&lt;2,"P1 EMERGENCY",IF(B4&lt;2.9,"P1",IF(B4&lt;3.5,"P2","P3")))</f>
        <v>P1</v>
      </c>
      <c r="E4" s="51" t="str">
        <f>'1 · Survey Input'!D12</f>
        <v>↓ Declining</v>
      </c>
      <c r="F4" s="50" t="str">
        <f>IF(ABS('1 · Survey Input'!B12-'1 · Survey Input'!C12)&gt;0.39,"YES — override to P1","No")</f>
        <v>No</v>
      </c>
      <c r="G4" s="51" t="str">
        <f>IF(AND('1 · Survey Input'!B12&lt;2.9,'1 · Survey Input'!B16&lt;2.9),"🔴 Low S + Low E: tooling harm. Highest AI ROI.",IF(AND('1 · Survey Input'!B12&lt;2.9,'1 · Survey Input'!B13&gt;=3.3),"🟡 Low S + Healthy P: attrition risk","-"))</f>
        <v>🔴 Low S + Low E: tooling harm. Highest AI ROI.</v>
      </c>
      <c r="H4" s="51" t="str">
        <f>IF(B4&lt;2,"48hr deep-dive. Journey mapping within 5 days.",IF(B4&lt;2.9,"Investigation within 2 weeks. Cross-validate.",IF(B4&lt;3.5,"Monitor trend quarterly.","Cross-validate with DORA.")))</f>
        <v>Investigation within 2 weeks. Cross-validate.</v>
      </c>
      <c r="I4" s="51" t="str">
        <f>IF('1 · Survey Input'!B12&lt;2.5,"⚠️ Low — run 1:1s instead of workshops","OK")</f>
        <v>⚠️ Low — run 1:1s instead of workshops</v>
      </c>
    </row>
    <row r="5" spans="1:9" ht="36" customHeight="1">
      <c r="A5" s="52" t="s">
        <v>44</v>
      </c>
      <c r="B5" s="53">
        <f>'1 · Survey Input'!B13</f>
        <v>3.1</v>
      </c>
      <c r="C5" s="54">
        <f>'1 · Survey Input'!B13</f>
        <v>3.1</v>
      </c>
      <c r="D5" s="53" t="str">
        <f>IF(B5&lt;2,"P1 EMERGENCY",IF(B5&lt;2.9,"P1",IF(B5&lt;3.5,"P2","P3")))</f>
        <v>P2</v>
      </c>
      <c r="E5" s="54" t="str">
        <f>'1 · Survey Input'!D13</f>
        <v>→ Stable</v>
      </c>
      <c r="F5" s="53" t="str">
        <f>IF(ABS('1 · Survey Input'!B13-'1 · Survey Input'!C13)&gt;0.39,"YES — override to P1","No")</f>
        <v>No</v>
      </c>
      <c r="G5" s="54" t="str">
        <f>IF(AND('1 · Survey Input'!B12&lt;2.9,'1 · Survey Input'!B13&gt;=3.3),"🟡 Low S + Healthy P: heroics / attrition risk","-")</f>
        <v>-</v>
      </c>
      <c r="H5" s="54" t="str">
        <f>IF(B5&lt;2,"48hr deep-dive.",IF(B5&lt;2.9,"Investigation within 2 weeks.",IF(B5&lt;3.5,"Monitor trend.","Cross-validate with DORA.")))</f>
        <v>Monitor trend.</v>
      </c>
      <c r="I5" s="54" t="s">
        <v>68</v>
      </c>
    </row>
    <row r="6" spans="1:9" ht="36" customHeight="1">
      <c r="A6" s="55" t="s">
        <v>45</v>
      </c>
      <c r="B6" s="56">
        <f>'1 · Survey Input'!B14</f>
        <v>3.8</v>
      </c>
      <c r="C6" s="57">
        <f>'1 · Survey Input'!B14</f>
        <v>3.8</v>
      </c>
      <c r="D6" s="56" t="str">
        <f>IF(B6&lt;2,"P1 EMERGENCY",IF(B6&lt;2.9,"P1",IF(B6&lt;3.5,"P2","P3")))</f>
        <v>P3</v>
      </c>
      <c r="E6" s="57" t="str">
        <f>'1 · Survey Input'!D14</f>
        <v>↓ Critical drop</v>
      </c>
      <c r="F6" s="56" t="str">
        <f>IF(ABS('1 · Survey Input'!B14-'1 · Survey Input'!C14)&gt;0.39,"YES — override to P1","No")</f>
        <v>YES — override to P1</v>
      </c>
      <c r="G6" s="57" t="str">
        <f>IF(AND('1 · Survey Input'!B14&gt;3.4,'1 · Survey Input'!B12&lt;2.9),"🟠 High A + Low S: hidden toil. Velocity review misses this.","-")</f>
        <v>🟠 High A + Low S: hidden toil. Velocity review misses this.</v>
      </c>
      <c r="H6" s="57" t="str">
        <f>IF(B6&lt;2,"48hr deep-dive.",IF(B6&lt;2.9,"Investigation within 2 weeks.",IF(B6&lt;3.5,"Monitor trend.","Pair with S score before concluding.")))</f>
        <v>Pair with S score before concluding.</v>
      </c>
      <c r="I6" s="57" t="s">
        <v>68</v>
      </c>
    </row>
    <row r="7" spans="1:9" ht="36" customHeight="1">
      <c r="A7" s="58" t="s">
        <v>46</v>
      </c>
      <c r="B7" s="59">
        <f>'1 · Survey Input'!B15</f>
        <v>2.6</v>
      </c>
      <c r="C7" s="60">
        <f>'1 · Survey Input'!B15</f>
        <v>2.6</v>
      </c>
      <c r="D7" s="59" t="str">
        <f>IF(B7&lt;2,"P1 EMERGENCY",IF(B7&lt;2.9,"P1",IF(B7&lt;3.5,"P2","P3")))</f>
        <v>P1</v>
      </c>
      <c r="E7" s="60" t="str">
        <f>'1 · Survey Input'!D15</f>
        <v>↓ Critical drop</v>
      </c>
      <c r="F7" s="59" t="str">
        <f>IF(ABS('1 · Survey Input'!B15-'1 · Survey Input'!C15)&gt;0.39,"YES — override to P1","No")</f>
        <v>YES — override to P1</v>
      </c>
      <c r="G7" s="60" t="str">
        <f>IF(AND('1 · Survey Input'!B15&lt;2.9,'1 · Survey Input'!B13&lt;3.5),"🟣 Low C + Moderate P: coordination overhead","-")</f>
        <v>🟣 Low C + Moderate P: coordination overhead</v>
      </c>
      <c r="H7" s="60" t="str">
        <f>IF(B7&lt;2,"48hr deep-dive.",IF(B7&lt;2.9,"Investigation within 2 weeks.",IF(B7&lt;3.5,"Monitor trend.","Cross-validate with PR data.")))</f>
        <v>Investigation within 2 weeks.</v>
      </c>
      <c r="I7" s="60" t="s">
        <v>68</v>
      </c>
    </row>
    <row r="8" spans="1:9" ht="36" customHeight="1">
      <c r="A8" s="61" t="s">
        <v>47</v>
      </c>
      <c r="B8" s="62">
        <f>'1 · Survey Input'!B16</f>
        <v>2.2000000000000002</v>
      </c>
      <c r="C8" s="63">
        <f>'1 · Survey Input'!B16</f>
        <v>2.2000000000000002</v>
      </c>
      <c r="D8" s="62" t="str">
        <f>IF(B8&lt;2,"P1 EMERGENCY",IF(B8&lt;2.9,"P1",IF(B8&lt;3.5,"P2","P3")))</f>
        <v>P1</v>
      </c>
      <c r="E8" s="63" t="str">
        <f>'1 · Survey Input'!D16</f>
        <v>↓ Critical drop</v>
      </c>
      <c r="F8" s="62" t="str">
        <f>IF(ABS('1 · Survey Input'!B16-'1 · Survey Input'!C16)&gt;0.39,"YES — override to P1","No")</f>
        <v>YES — override to P1</v>
      </c>
      <c r="G8" s="63" t="str">
        <f>IF(AND('1 · Survey Input'!B12&lt;2.9,'1 · Survey Input'!B16&lt;2.9),"🔴 Low E + Low S: tooling is harming. Act immediately.","-")</f>
        <v>🔴 Low E + Low S: tooling is harming. Act immediately.</v>
      </c>
      <c r="H8" s="63" t="str">
        <f>IF(B8&lt;2,"48hr deep-dive.",IF(B8&lt;2.9,"Investigation within 2 weeks.",IF(B8&lt;3.5,"Monitor trend.","Cross-validate with build data.")))</f>
        <v>Investigation within 2 weeks.</v>
      </c>
      <c r="I8" s="63" t="s">
        <v>68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8" customWidth="1"/>
    <col min="2" max="3" width="22" customWidth="1"/>
    <col min="4" max="4" width="12" customWidth="1"/>
    <col min="5" max="5" width="18" customWidth="1"/>
    <col min="6" max="6" width="58" customWidth="1"/>
    <col min="7" max="7" width="50" customWidth="1"/>
  </cols>
  <sheetData>
    <row r="1" spans="1:7" ht="30" customHeight="1">
      <c r="A1" s="117" t="s">
        <v>69</v>
      </c>
      <c r="B1" s="128"/>
      <c r="C1" s="128"/>
      <c r="D1" s="128"/>
      <c r="E1" s="128"/>
      <c r="F1" s="128"/>
      <c r="G1" s="128"/>
    </row>
    <row r="2" spans="1:7" ht="18" customHeight="1">
      <c r="A2" s="116" t="s">
        <v>70</v>
      </c>
      <c r="B2" s="129"/>
      <c r="C2" s="129"/>
      <c r="D2" s="129"/>
      <c r="E2" s="129"/>
      <c r="F2" s="129"/>
      <c r="G2" s="130"/>
    </row>
    <row r="3" spans="1:7" ht="21.95" customHeight="1">
      <c r="A3" s="64" t="s">
        <v>71</v>
      </c>
      <c r="B3" s="64" t="s">
        <v>72</v>
      </c>
      <c r="C3" s="64" t="s">
        <v>73</v>
      </c>
      <c r="D3" s="64" t="s">
        <v>74</v>
      </c>
      <c r="E3" s="64" t="s">
        <v>75</v>
      </c>
      <c r="F3" s="64" t="s">
        <v>76</v>
      </c>
      <c r="G3" s="64" t="s">
        <v>77</v>
      </c>
    </row>
    <row r="4" spans="1:7" ht="72" customHeight="1">
      <c r="A4" s="65" t="s">
        <v>78</v>
      </c>
      <c r="B4" s="66" t="s">
        <v>79</v>
      </c>
      <c r="C4" s="67">
        <v>18</v>
      </c>
      <c r="D4" s="67" t="e">
        <f>C4/('1 · Survey Input'!B4)*100</f>
        <v>#VALUE!</v>
      </c>
      <c r="E4" s="67" t="e">
        <f>IF(D4&gt;=30,"✓ PROMOTED",IF(D4&gt;=15,"~ INVESTIGATE","Monitor"))</f>
        <v>#VALUE!</v>
      </c>
      <c r="F4" s="66" t="s">
        <v>80</v>
      </c>
      <c r="G4" s="66" t="s">
        <v>81</v>
      </c>
    </row>
    <row r="5" spans="1:7" ht="72" customHeight="1">
      <c r="A5" s="68" t="s">
        <v>82</v>
      </c>
      <c r="B5" s="69" t="s">
        <v>83</v>
      </c>
      <c r="C5" s="70">
        <v>16</v>
      </c>
      <c r="D5" s="70" t="e">
        <f>C5/('1 · Survey Input'!B4)*100</f>
        <v>#VALUE!</v>
      </c>
      <c r="E5" s="70" t="e">
        <f>IF(D5&gt;=30,"✓ PROMOTED",IF(D5&gt;=15,"~ INVESTIGATE","Monitor"))</f>
        <v>#VALUE!</v>
      </c>
      <c r="F5" s="69" t="s">
        <v>84</v>
      </c>
      <c r="G5" s="69" t="s">
        <v>85</v>
      </c>
    </row>
    <row r="6" spans="1:7" ht="72" customHeight="1">
      <c r="A6" s="65" t="s">
        <v>86</v>
      </c>
      <c r="B6" s="66" t="s">
        <v>87</v>
      </c>
      <c r="C6" s="67">
        <v>13</v>
      </c>
      <c r="D6" s="67" t="e">
        <f>C6/('1 · Survey Input'!B4)*100</f>
        <v>#VALUE!</v>
      </c>
      <c r="E6" s="67" t="e">
        <f>IF(D6&gt;=30,"✓ PROMOTED",IF(D6&gt;=15,"~ INVESTIGATE","Monitor"))</f>
        <v>#VALUE!</v>
      </c>
      <c r="F6" s="66" t="s">
        <v>88</v>
      </c>
      <c r="G6" s="66" t="s">
        <v>89</v>
      </c>
    </row>
    <row r="7" spans="1:7" ht="72" customHeight="1">
      <c r="A7" s="68" t="s">
        <v>90</v>
      </c>
      <c r="B7" s="69" t="s">
        <v>79</v>
      </c>
      <c r="C7" s="70">
        <v>11</v>
      </c>
      <c r="D7" s="70" t="e">
        <f>C7/('1 · Survey Input'!B4)*100</f>
        <v>#VALUE!</v>
      </c>
      <c r="E7" s="70" t="e">
        <f>IF(D7&gt;=30,"✓ PROMOTED",IF(D7&gt;=15,"~ INVESTIGATE","Monitor"))</f>
        <v>#VALUE!</v>
      </c>
      <c r="F7" s="69" t="s">
        <v>91</v>
      </c>
      <c r="G7" s="69" t="s">
        <v>92</v>
      </c>
    </row>
    <row r="8" spans="1:7" ht="72" customHeight="1">
      <c r="A8" s="65" t="s">
        <v>93</v>
      </c>
      <c r="B8" s="66" t="s">
        <v>94</v>
      </c>
      <c r="C8" s="67">
        <v>7</v>
      </c>
      <c r="D8" s="67" t="e">
        <f>C8/('1 · Survey Input'!B4)*100</f>
        <v>#VALUE!</v>
      </c>
      <c r="E8" s="67" t="e">
        <f>IF(D8&gt;=30,"✓ PROMOTED",IF(D8&gt;=15,"~ INVESTIGATE","Monitor"))</f>
        <v>#VALUE!</v>
      </c>
      <c r="F8" s="66" t="s">
        <v>95</v>
      </c>
      <c r="G8" s="66" t="s">
        <v>96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8" customWidth="1"/>
    <col min="2" max="3" width="18" customWidth="1"/>
    <col min="4" max="4" width="32" customWidth="1"/>
    <col min="5" max="5" width="18" customWidth="1"/>
    <col min="6" max="6" width="22" customWidth="1"/>
    <col min="7" max="7" width="18" customWidth="1"/>
    <col min="8" max="9" width="22" customWidth="1"/>
  </cols>
  <sheetData>
    <row r="1" spans="1:9" ht="30" customHeight="1">
      <c r="A1" s="118" t="s">
        <v>97</v>
      </c>
      <c r="B1" s="128"/>
      <c r="C1" s="128"/>
      <c r="D1" s="128"/>
      <c r="E1" s="128"/>
      <c r="F1" s="128"/>
      <c r="G1" s="128"/>
      <c r="H1" s="128"/>
      <c r="I1" s="128"/>
    </row>
    <row r="2" spans="1:9" ht="18" customHeight="1">
      <c r="A2" s="119" t="s">
        <v>98</v>
      </c>
      <c r="B2" s="129"/>
      <c r="C2" s="129"/>
      <c r="D2" s="129"/>
      <c r="E2" s="129"/>
      <c r="F2" s="129"/>
      <c r="G2" s="129"/>
      <c r="H2" s="129"/>
      <c r="I2" s="130"/>
    </row>
    <row r="3" spans="1:9" ht="21.95" customHeight="1">
      <c r="A3" s="71" t="s">
        <v>99</v>
      </c>
      <c r="B3" s="71" t="s">
        <v>100</v>
      </c>
      <c r="C3" s="71" t="s">
        <v>101</v>
      </c>
      <c r="D3" s="71" t="s">
        <v>102</v>
      </c>
      <c r="E3" s="71" t="s">
        <v>103</v>
      </c>
      <c r="F3" s="71" t="s">
        <v>104</v>
      </c>
      <c r="G3" s="71" t="s">
        <v>105</v>
      </c>
      <c r="H3" s="71" t="s">
        <v>106</v>
      </c>
      <c r="I3" s="71" t="s">
        <v>107</v>
      </c>
    </row>
    <row r="4" spans="1:9" ht="36" customHeight="1">
      <c r="A4" s="72" t="s">
        <v>108</v>
      </c>
      <c r="B4" s="73" t="s">
        <v>109</v>
      </c>
      <c r="C4" s="73" t="s">
        <v>110</v>
      </c>
      <c r="D4" s="74" t="s">
        <v>111</v>
      </c>
      <c r="E4" s="73" t="s">
        <v>112</v>
      </c>
      <c r="F4" s="73" t="s">
        <v>113</v>
      </c>
      <c r="G4" s="73" t="s">
        <v>114</v>
      </c>
      <c r="H4" s="75" t="str">
        <f>IF(AND(B4&lt;&gt;"—",C4&lt;&gt;"—",E4&lt;&gt;"—"),"3 of 3",IF(AND(B4&lt;&gt;"—",E4&lt;&gt;"—"),"2 of 3",IF(AND(B4&lt;&gt;"—",C4&lt;&gt;"—"),"2 of 3","1 of 3")))</f>
        <v>3 of 3</v>
      </c>
      <c r="I4" s="75" t="str">
        <f>IF(H4="3 of 3","✓ P1 Registry",IF(H4="2 of 3","✓ P1/P2 Registry","Investigate further"))</f>
        <v>✓ P1 Registry</v>
      </c>
    </row>
    <row r="5" spans="1:9" ht="36" customHeight="1">
      <c r="A5" s="76" t="s">
        <v>115</v>
      </c>
      <c r="B5" s="77" t="s">
        <v>116</v>
      </c>
      <c r="C5" s="77" t="s">
        <v>117</v>
      </c>
      <c r="D5" s="74" t="s">
        <v>118</v>
      </c>
      <c r="E5" s="77" t="s">
        <v>119</v>
      </c>
      <c r="F5" s="77" t="s">
        <v>120</v>
      </c>
      <c r="G5" s="77" t="s">
        <v>114</v>
      </c>
      <c r="H5" s="78" t="str">
        <f>IF(AND(B5&lt;&gt;"—",C5&lt;&gt;"—",E5&lt;&gt;"—"),"3 of 3",IF(AND(B5&lt;&gt;"—",E5&lt;&gt;"—"),"2 of 3",IF(AND(B5&lt;&gt;"—",C5&lt;&gt;"—"),"2 of 3","1 of 3")))</f>
        <v>3 of 3</v>
      </c>
      <c r="I5" s="78" t="str">
        <f>IF(H5="3 of 3","✓ P1 Registry",IF(H5="2 of 3","✓ P1/P2 Registry","Investigate further"))</f>
        <v>✓ P1 Registry</v>
      </c>
    </row>
    <row r="6" spans="1:9" ht="36" customHeight="1">
      <c r="A6" s="72" t="s">
        <v>121</v>
      </c>
      <c r="B6" s="73" t="s">
        <v>122</v>
      </c>
      <c r="C6" s="73" t="s">
        <v>123</v>
      </c>
      <c r="D6" s="74" t="s">
        <v>124</v>
      </c>
      <c r="E6" s="73" t="s">
        <v>125</v>
      </c>
      <c r="F6" s="73" t="s">
        <v>126</v>
      </c>
      <c r="G6" s="73" t="s">
        <v>114</v>
      </c>
      <c r="H6" s="75" t="str">
        <f>IF(AND(B6&lt;&gt;"—",C6&lt;&gt;"—",E6&lt;&gt;"—"),"3 of 3",IF(AND(B6&lt;&gt;"—",E6&lt;&gt;"—"),"2 of 3",IF(AND(B6&lt;&gt;"—",C6&lt;&gt;"—"),"2 of 3","1 of 3")))</f>
        <v>3 of 3</v>
      </c>
      <c r="I6" s="75" t="str">
        <f>IF(H6="3 of 3","✓ P1 Registry",IF(H6="2 of 3","✓ P1/P2 Registry","Investigate further"))</f>
        <v>✓ P1 Registry</v>
      </c>
    </row>
    <row r="7" spans="1:9" ht="36" customHeight="1">
      <c r="A7" s="76" t="s">
        <v>127</v>
      </c>
      <c r="B7" s="77" t="s">
        <v>128</v>
      </c>
      <c r="C7" s="77" t="s">
        <v>110</v>
      </c>
      <c r="D7" s="74" t="s">
        <v>129</v>
      </c>
      <c r="E7" s="77" t="s">
        <v>130</v>
      </c>
      <c r="F7" s="77" t="s">
        <v>131</v>
      </c>
      <c r="G7" s="77" t="s">
        <v>132</v>
      </c>
      <c r="H7" s="78" t="s">
        <v>133</v>
      </c>
      <c r="I7" s="78" t="s">
        <v>134</v>
      </c>
    </row>
    <row r="8" spans="1:9" ht="36" customHeight="1">
      <c r="A8" s="72" t="s">
        <v>135</v>
      </c>
      <c r="B8" s="73" t="s">
        <v>136</v>
      </c>
      <c r="C8" s="73" t="s">
        <v>137</v>
      </c>
      <c r="D8" s="74" t="s">
        <v>68</v>
      </c>
      <c r="E8" s="73" t="s">
        <v>138</v>
      </c>
      <c r="F8" s="73" t="s">
        <v>139</v>
      </c>
      <c r="G8" s="73" t="s">
        <v>140</v>
      </c>
      <c r="H8" s="75" t="s">
        <v>141</v>
      </c>
      <c r="I8" s="75" t="s">
        <v>142</v>
      </c>
    </row>
    <row r="9" spans="1:9" ht="36" customHeight="1">
      <c r="A9" s="76" t="s">
        <v>143</v>
      </c>
      <c r="B9" s="77" t="s">
        <v>144</v>
      </c>
      <c r="C9" s="77" t="s">
        <v>145</v>
      </c>
      <c r="D9" s="74" t="s">
        <v>68</v>
      </c>
      <c r="E9" s="77" t="s">
        <v>68</v>
      </c>
      <c r="F9" s="77" t="s">
        <v>68</v>
      </c>
      <c r="G9" s="77" t="s">
        <v>146</v>
      </c>
      <c r="H9" s="78" t="s">
        <v>141</v>
      </c>
      <c r="I9" s="78" t="s">
        <v>147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2" customWidth="1"/>
    <col min="2" max="2" width="14" customWidth="1"/>
    <col min="3" max="3" width="16" customWidth="1"/>
    <col min="4" max="4" width="18" customWidth="1"/>
    <col min="5" max="5" width="55" customWidth="1"/>
    <col min="6" max="6" width="50" customWidth="1"/>
    <col min="7" max="7" width="18" customWidth="1"/>
    <col min="8" max="8" width="50" customWidth="1"/>
  </cols>
  <sheetData>
    <row r="1" spans="1:8" ht="30" customHeight="1">
      <c r="A1" s="121" t="s">
        <v>148</v>
      </c>
      <c r="B1" s="128"/>
      <c r="C1" s="128"/>
      <c r="D1" s="128"/>
      <c r="E1" s="128"/>
      <c r="F1" s="128"/>
      <c r="G1" s="128"/>
      <c r="H1" s="128"/>
    </row>
    <row r="2" spans="1:8" ht="18" customHeight="1">
      <c r="A2" s="120" t="s">
        <v>149</v>
      </c>
      <c r="B2" s="129"/>
      <c r="C2" s="129"/>
      <c r="D2" s="129"/>
      <c r="E2" s="129"/>
      <c r="F2" s="129"/>
      <c r="G2" s="129"/>
      <c r="H2" s="130"/>
    </row>
    <row r="3" spans="1:8" ht="21.95" customHeight="1">
      <c r="A3" s="79" t="s">
        <v>150</v>
      </c>
      <c r="B3" s="79" t="s">
        <v>151</v>
      </c>
      <c r="C3" s="79" t="s">
        <v>152</v>
      </c>
      <c r="D3" s="79" t="s">
        <v>153</v>
      </c>
      <c r="E3" s="79" t="s">
        <v>154</v>
      </c>
      <c r="F3" s="79" t="s">
        <v>155</v>
      </c>
      <c r="G3" s="79" t="s">
        <v>156</v>
      </c>
      <c r="H3" s="79" t="s">
        <v>157</v>
      </c>
    </row>
    <row r="4" spans="1:8" ht="72" customHeight="1">
      <c r="A4" s="80" t="s">
        <v>158</v>
      </c>
      <c r="B4" s="81" t="s">
        <v>159</v>
      </c>
      <c r="C4" s="82" t="s">
        <v>160</v>
      </c>
      <c r="D4" s="82" t="s">
        <v>161</v>
      </c>
      <c r="E4" s="83" t="s">
        <v>162</v>
      </c>
      <c r="F4" s="83" t="s">
        <v>163</v>
      </c>
      <c r="G4" s="82" t="s">
        <v>164</v>
      </c>
      <c r="H4" s="83"/>
    </row>
    <row r="5" spans="1:8" ht="72" customHeight="1">
      <c r="A5" s="84" t="s">
        <v>165</v>
      </c>
      <c r="B5" s="85" t="s">
        <v>166</v>
      </c>
      <c r="C5" s="86" t="s">
        <v>167</v>
      </c>
      <c r="D5" s="86" t="s">
        <v>168</v>
      </c>
      <c r="E5" s="87" t="s">
        <v>169</v>
      </c>
      <c r="F5" s="87" t="s">
        <v>170</v>
      </c>
      <c r="G5" s="86" t="s">
        <v>171</v>
      </c>
      <c r="H5" s="87" t="s">
        <v>172</v>
      </c>
    </row>
    <row r="6" spans="1:8" ht="72" customHeight="1">
      <c r="A6" s="80" t="s">
        <v>173</v>
      </c>
      <c r="B6" s="81" t="s">
        <v>174</v>
      </c>
      <c r="C6" s="82" t="s">
        <v>160</v>
      </c>
      <c r="D6" s="82" t="s">
        <v>175</v>
      </c>
      <c r="E6" s="83" t="s">
        <v>176</v>
      </c>
      <c r="F6" s="83" t="s">
        <v>177</v>
      </c>
      <c r="G6" s="82" t="s">
        <v>164</v>
      </c>
      <c r="H6" s="83"/>
    </row>
    <row r="7" spans="1:8" ht="72" customHeight="1">
      <c r="A7" s="84" t="s">
        <v>178</v>
      </c>
      <c r="B7" s="85" t="s">
        <v>179</v>
      </c>
      <c r="C7" s="86" t="s">
        <v>180</v>
      </c>
      <c r="D7" s="86" t="s">
        <v>181</v>
      </c>
      <c r="E7" s="87" t="s">
        <v>182</v>
      </c>
      <c r="F7" s="87" t="s">
        <v>183</v>
      </c>
      <c r="G7" s="86" t="s">
        <v>171</v>
      </c>
      <c r="H7" s="87" t="s">
        <v>184</v>
      </c>
    </row>
    <row r="8" spans="1:8" ht="72" customHeight="1">
      <c r="A8" s="88" t="s">
        <v>185</v>
      </c>
      <c r="B8" s="89" t="s">
        <v>186</v>
      </c>
      <c r="C8" s="82" t="s">
        <v>187</v>
      </c>
      <c r="D8" s="82" t="s">
        <v>188</v>
      </c>
      <c r="E8" s="83" t="s">
        <v>189</v>
      </c>
      <c r="F8" s="83" t="s">
        <v>190</v>
      </c>
      <c r="G8" s="82" t="s">
        <v>191</v>
      </c>
      <c r="H8" s="83" t="s">
        <v>192</v>
      </c>
    </row>
    <row r="9" spans="1:8" ht="72" customHeight="1">
      <c r="A9" s="88" t="s">
        <v>193</v>
      </c>
      <c r="B9" s="89" t="s">
        <v>194</v>
      </c>
      <c r="C9" s="86" t="s">
        <v>187</v>
      </c>
      <c r="D9" s="86" t="s">
        <v>195</v>
      </c>
      <c r="E9" s="87" t="s">
        <v>196</v>
      </c>
      <c r="F9" s="87" t="s">
        <v>197</v>
      </c>
      <c r="G9" s="86" t="s">
        <v>191</v>
      </c>
      <c r="H9" s="87" t="s">
        <v>198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6" customWidth="1"/>
    <col min="2" max="2" width="20" customWidth="1"/>
    <col min="3" max="4" width="22" customWidth="1"/>
    <col min="5" max="5" width="20" customWidth="1"/>
    <col min="6" max="6" width="18" customWidth="1"/>
    <col min="7" max="7" width="16" customWidth="1"/>
    <col min="8" max="8" width="20" customWidth="1"/>
    <col min="9" max="9" width="28" customWidth="1"/>
    <col min="10" max="10" width="22" customWidth="1"/>
    <col min="11" max="11" width="20" customWidth="1"/>
  </cols>
  <sheetData>
    <row r="1" spans="1:11" ht="30" customHeight="1">
      <c r="A1" s="126" t="s">
        <v>199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18" customHeight="1">
      <c r="A2" s="124" t="s">
        <v>200</v>
      </c>
      <c r="B2" s="129"/>
      <c r="C2" s="129"/>
      <c r="D2" s="129"/>
      <c r="E2" s="129"/>
      <c r="F2" s="129"/>
      <c r="G2" s="129"/>
      <c r="H2" s="129"/>
      <c r="I2" s="129"/>
      <c r="J2" s="129"/>
      <c r="K2" s="130"/>
    </row>
    <row r="3" spans="1:11" ht="21.95" customHeight="1">
      <c r="A3" s="90" t="s">
        <v>201</v>
      </c>
      <c r="B3" s="90" t="s">
        <v>202</v>
      </c>
      <c r="C3" s="90" t="s">
        <v>203</v>
      </c>
      <c r="D3" s="90" t="s">
        <v>204</v>
      </c>
      <c r="E3" s="90" t="s">
        <v>61</v>
      </c>
      <c r="F3" s="90" t="s">
        <v>205</v>
      </c>
      <c r="G3" s="90" t="s">
        <v>206</v>
      </c>
      <c r="H3" s="90" t="s">
        <v>207</v>
      </c>
      <c r="I3" s="90" t="s">
        <v>208</v>
      </c>
      <c r="J3" s="90" t="s">
        <v>63</v>
      </c>
      <c r="K3" s="90" t="s">
        <v>209</v>
      </c>
    </row>
    <row r="4" spans="1:11" ht="36" customHeight="1">
      <c r="A4" s="67">
        <v>1</v>
      </c>
      <c r="B4" s="65" t="s">
        <v>115</v>
      </c>
      <c r="C4" s="66" t="s">
        <v>210</v>
      </c>
      <c r="D4" s="66" t="s">
        <v>211</v>
      </c>
      <c r="E4" s="67" t="s">
        <v>212</v>
      </c>
      <c r="F4" s="66" t="s">
        <v>213</v>
      </c>
      <c r="G4" s="66" t="s">
        <v>120</v>
      </c>
      <c r="H4" s="66" t="s">
        <v>214</v>
      </c>
      <c r="I4" s="91" t="s">
        <v>215</v>
      </c>
      <c r="J4" s="92" t="s">
        <v>216</v>
      </c>
      <c r="K4" s="66" t="s">
        <v>217</v>
      </c>
    </row>
    <row r="5" spans="1:11" ht="36" customHeight="1">
      <c r="A5" s="70">
        <v>2</v>
      </c>
      <c r="B5" s="68" t="s">
        <v>108</v>
      </c>
      <c r="C5" s="69" t="s">
        <v>218</v>
      </c>
      <c r="D5" s="69" t="s">
        <v>219</v>
      </c>
      <c r="E5" s="70" t="s">
        <v>212</v>
      </c>
      <c r="F5" s="69" t="s">
        <v>220</v>
      </c>
      <c r="G5" s="69" t="s">
        <v>113</v>
      </c>
      <c r="H5" s="69" t="s">
        <v>221</v>
      </c>
      <c r="I5" s="93" t="s">
        <v>215</v>
      </c>
      <c r="J5" s="94" t="s">
        <v>216</v>
      </c>
      <c r="K5" s="69" t="s">
        <v>222</v>
      </c>
    </row>
    <row r="6" spans="1:11" ht="36" customHeight="1">
      <c r="A6" s="67">
        <v>3</v>
      </c>
      <c r="B6" s="65" t="s">
        <v>121</v>
      </c>
      <c r="C6" s="66" t="s">
        <v>223</v>
      </c>
      <c r="D6" s="66" t="s">
        <v>224</v>
      </c>
      <c r="E6" s="67" t="s">
        <v>225</v>
      </c>
      <c r="F6" s="66" t="s">
        <v>226</v>
      </c>
      <c r="G6" s="66" t="s">
        <v>126</v>
      </c>
      <c r="H6" s="66" t="s">
        <v>227</v>
      </c>
      <c r="I6" s="91" t="s">
        <v>215</v>
      </c>
      <c r="J6" s="92" t="s">
        <v>216</v>
      </c>
      <c r="K6" s="66" t="s">
        <v>228</v>
      </c>
    </row>
    <row r="7" spans="1:11" ht="36" customHeight="1">
      <c r="A7" s="70">
        <v>4</v>
      </c>
      <c r="B7" s="68" t="s">
        <v>127</v>
      </c>
      <c r="C7" s="69" t="s">
        <v>229</v>
      </c>
      <c r="D7" s="69" t="s">
        <v>219</v>
      </c>
      <c r="E7" s="70" t="s">
        <v>212</v>
      </c>
      <c r="F7" s="69" t="s">
        <v>230</v>
      </c>
      <c r="G7" s="69" t="s">
        <v>131</v>
      </c>
      <c r="H7" s="69" t="s">
        <v>231</v>
      </c>
      <c r="I7" s="93" t="s">
        <v>215</v>
      </c>
      <c r="J7" s="95" t="s">
        <v>232</v>
      </c>
      <c r="K7" s="69" t="s">
        <v>233</v>
      </c>
    </row>
    <row r="8" spans="1:11" ht="36" customHeight="1">
      <c r="A8" s="67">
        <v>5</v>
      </c>
      <c r="B8" s="65" t="s">
        <v>234</v>
      </c>
      <c r="C8" s="66" t="s">
        <v>235</v>
      </c>
      <c r="D8" s="66" t="s">
        <v>236</v>
      </c>
      <c r="E8" s="67" t="s">
        <v>237</v>
      </c>
      <c r="F8" s="66" t="s">
        <v>238</v>
      </c>
      <c r="G8" s="66" t="s">
        <v>239</v>
      </c>
      <c r="H8" s="66" t="s">
        <v>240</v>
      </c>
      <c r="I8" s="92" t="s">
        <v>241</v>
      </c>
      <c r="J8" s="96" t="s">
        <v>242</v>
      </c>
      <c r="K8" s="66" t="s">
        <v>243</v>
      </c>
    </row>
    <row r="10" spans="1:11" ht="27.95" customHeight="1">
      <c r="A10" s="125" t="s">
        <v>244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</row>
    <row r="11" spans="1:11" ht="30" customHeight="1">
      <c r="A11" s="97" t="s">
        <v>202</v>
      </c>
      <c r="B11" s="97" t="s">
        <v>245</v>
      </c>
      <c r="C11" s="97" t="s">
        <v>246</v>
      </c>
      <c r="D11" s="97" t="s">
        <v>247</v>
      </c>
      <c r="E11" s="97" t="s">
        <v>248</v>
      </c>
      <c r="F11" s="97" t="s">
        <v>249</v>
      </c>
      <c r="G11" s="97" t="s">
        <v>250</v>
      </c>
      <c r="H11" s="97" t="s">
        <v>251</v>
      </c>
      <c r="I11" s="97" t="s">
        <v>252</v>
      </c>
      <c r="J11" s="97" t="s">
        <v>253</v>
      </c>
      <c r="K11" s="97" t="s">
        <v>254</v>
      </c>
    </row>
    <row r="12" spans="1:11" ht="36" customHeight="1">
      <c r="A12" s="72" t="s">
        <v>255</v>
      </c>
      <c r="B12" s="98">
        <v>5</v>
      </c>
      <c r="C12" s="99">
        <v>4</v>
      </c>
      <c r="D12" s="98">
        <v>5</v>
      </c>
      <c r="E12" s="99">
        <v>4</v>
      </c>
      <c r="F12" s="98">
        <v>5</v>
      </c>
      <c r="G12" s="100">
        <f>(B12*0.25+C12*0.2+D12*0.25+E12*0.15+F12*0.15)</f>
        <v>4.6500000000000004</v>
      </c>
      <c r="H12" s="101" t="str">
        <f>IF(G12&gt;=8,"Quick Win",IF(G12&gt;=6,"Strategic Bet",IF(G12&gt;=4,"Monitor","Defer")))</f>
        <v>Monitor</v>
      </c>
      <c r="I12" s="73" t="s">
        <v>256</v>
      </c>
      <c r="J12" s="73" t="s">
        <v>257</v>
      </c>
      <c r="K12" s="73" t="s">
        <v>258</v>
      </c>
    </row>
    <row r="13" spans="1:11" ht="36" customHeight="1">
      <c r="A13" s="76" t="s">
        <v>259</v>
      </c>
      <c r="B13" s="102">
        <v>5</v>
      </c>
      <c r="C13" s="102">
        <v>5</v>
      </c>
      <c r="D13" s="103">
        <v>4</v>
      </c>
      <c r="E13" s="103">
        <v>4</v>
      </c>
      <c r="F13" s="103">
        <v>4</v>
      </c>
      <c r="G13" s="100">
        <f>(B13*0.25+C13*0.2+D13*0.25+E13*0.15+F13*0.15)</f>
        <v>4.45</v>
      </c>
      <c r="H13" s="104" t="str">
        <f>IF(G13&gt;=8,"Quick Win",IF(G13&gt;=6,"Strategic Bet",IF(G13&gt;=4,"Monitor","Defer")))</f>
        <v>Monitor</v>
      </c>
      <c r="I13" s="77" t="s">
        <v>260</v>
      </c>
      <c r="J13" s="77" t="s">
        <v>257</v>
      </c>
      <c r="K13" s="77" t="s">
        <v>261</v>
      </c>
    </row>
    <row r="14" spans="1:11" ht="36" customHeight="1">
      <c r="A14" s="72" t="s">
        <v>262</v>
      </c>
      <c r="B14" s="99">
        <v>4</v>
      </c>
      <c r="C14" s="99">
        <v>4</v>
      </c>
      <c r="D14" s="98">
        <v>5</v>
      </c>
      <c r="E14" s="105">
        <v>3</v>
      </c>
      <c r="F14" s="99">
        <v>4</v>
      </c>
      <c r="G14" s="100">
        <f>(B14*0.25+C14*0.2+D14*0.25+E14*0.15+F14*0.15)</f>
        <v>4.0999999999999996</v>
      </c>
      <c r="H14" s="101" t="str">
        <f>IF(G14&gt;=8,"Quick Win",IF(G14&gt;=6,"Strategic Bet",IF(G14&gt;=4,"Monitor","Defer")))</f>
        <v>Monitor</v>
      </c>
      <c r="I14" s="73" t="s">
        <v>263</v>
      </c>
      <c r="J14" s="73" t="s">
        <v>264</v>
      </c>
      <c r="K14" s="73" t="s">
        <v>265</v>
      </c>
    </row>
    <row r="15" spans="1:11" ht="36" customHeight="1">
      <c r="A15" s="76" t="s">
        <v>127</v>
      </c>
      <c r="B15" s="102">
        <v>5</v>
      </c>
      <c r="C15" s="106">
        <v>3</v>
      </c>
      <c r="D15" s="103">
        <v>4</v>
      </c>
      <c r="E15" s="102">
        <v>5</v>
      </c>
      <c r="F15" s="103">
        <v>4</v>
      </c>
      <c r="G15" s="100">
        <f>(B15*0.25+C15*0.2+D15*0.25+E15*0.15+F15*0.15)</f>
        <v>4.2</v>
      </c>
      <c r="H15" s="104" t="str">
        <f>IF(G15&gt;=8,"Quick Win",IF(G15&gt;=6,"Strategic Bet",IF(G15&gt;=4,"Monitor","Defer")))</f>
        <v>Monitor</v>
      </c>
      <c r="I15" s="77" t="s">
        <v>266</v>
      </c>
      <c r="J15" s="77" t="s">
        <v>267</v>
      </c>
      <c r="K15" s="77" t="s">
        <v>268</v>
      </c>
    </row>
    <row r="17" spans="1:11" ht="27.95" customHeight="1">
      <c r="A17" s="127" t="s">
        <v>269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</row>
    <row r="18" spans="1:11" ht="21.95" customHeight="1">
      <c r="A18" s="107" t="s">
        <v>270</v>
      </c>
      <c r="B18" s="108">
        <f>COUNTIF(H12:H15,"Quick Win")</f>
        <v>0</v>
      </c>
      <c r="C18" s="123" t="s">
        <v>271</v>
      </c>
      <c r="D18" s="128"/>
      <c r="E18" s="128"/>
      <c r="F18" s="128"/>
      <c r="G18" s="128"/>
      <c r="H18" s="128"/>
      <c r="I18" s="128"/>
      <c r="J18" s="128"/>
      <c r="K18" s="128"/>
    </row>
    <row r="19" spans="1:11" ht="21.95" customHeight="1">
      <c r="A19" s="13" t="s">
        <v>272</v>
      </c>
      <c r="B19" s="109">
        <f>COUNTIF(H12:H15,"Strategic Bet")</f>
        <v>0</v>
      </c>
      <c r="C19" s="122" t="s">
        <v>273</v>
      </c>
      <c r="D19" s="128"/>
      <c r="E19" s="128"/>
      <c r="F19" s="128"/>
      <c r="G19" s="128"/>
      <c r="H19" s="128"/>
      <c r="I19" s="128"/>
      <c r="J19" s="128"/>
      <c r="K19" s="128"/>
    </row>
    <row r="20" spans="1:11" ht="21.95" customHeight="1">
      <c r="A20" s="107" t="s">
        <v>274</v>
      </c>
      <c r="B20" s="108">
        <v>1</v>
      </c>
      <c r="C20" s="123" t="s">
        <v>275</v>
      </c>
      <c r="D20" s="128"/>
      <c r="E20" s="128"/>
      <c r="F20" s="128"/>
      <c r="G20" s="128"/>
      <c r="H20" s="128"/>
      <c r="I20" s="128"/>
      <c r="J20" s="128"/>
      <c r="K20" s="128"/>
    </row>
    <row r="21" spans="1:11" ht="21.95" customHeight="1">
      <c r="A21" s="13" t="s">
        <v>276</v>
      </c>
      <c r="B21" s="109" t="s">
        <v>277</v>
      </c>
      <c r="C21" s="122" t="s">
        <v>278</v>
      </c>
      <c r="D21" s="128"/>
      <c r="E21" s="128"/>
      <c r="F21" s="128"/>
      <c r="G21" s="128"/>
      <c r="H21" s="128"/>
      <c r="I21" s="128"/>
      <c r="J21" s="128"/>
      <c r="K21" s="128"/>
    </row>
    <row r="22" spans="1:11" ht="21.95" customHeight="1">
      <c r="A22" s="107" t="s">
        <v>279</v>
      </c>
      <c r="B22" s="108" t="s">
        <v>280</v>
      </c>
      <c r="C22" s="123" t="s">
        <v>281</v>
      </c>
      <c r="D22" s="128"/>
      <c r="E22" s="128"/>
      <c r="F22" s="128"/>
      <c r="G22" s="128"/>
      <c r="H22" s="128"/>
      <c r="I22" s="128"/>
      <c r="J22" s="128"/>
      <c r="K22" s="128"/>
    </row>
  </sheetData>
  <mergeCells count="9">
    <mergeCell ref="C22:K22"/>
    <mergeCell ref="A10:K10"/>
    <mergeCell ref="A1:K1"/>
    <mergeCell ref="A17:K17"/>
    <mergeCell ref="C21:K21"/>
    <mergeCell ref="C19:K19"/>
    <mergeCell ref="C20:K20"/>
    <mergeCell ref="A2:K2"/>
    <mergeCell ref="C18:K1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34b15c-c02c-4e79-b353-8caca45ac009" xsi:nil="true"/>
    <lcf76f155ced4ddcb4097134ff3c332f xmlns="4ca70cca-4f68-4165-ae4f-8089d02f1c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E9F5DE00C4664B87F5FFDDF1FD135B" ma:contentTypeVersion="13" ma:contentTypeDescription="Create a new document." ma:contentTypeScope="" ma:versionID="7ddc23a501e951875c51649b9d15410c">
  <xsd:schema xmlns:xsd="http://www.w3.org/2001/XMLSchema" xmlns:xs="http://www.w3.org/2001/XMLSchema" xmlns:p="http://schemas.microsoft.com/office/2006/metadata/properties" xmlns:ns2="4ca70cca-4f68-4165-ae4f-8089d02f1cda" xmlns:ns3="4c34b15c-c02c-4e79-b353-8caca45ac009" targetNamespace="http://schemas.microsoft.com/office/2006/metadata/properties" ma:root="true" ma:fieldsID="dcf957a4f67b7752a00a5a88b0598f3c" ns2:_="" ns3:_="">
    <xsd:import namespace="4ca70cca-4f68-4165-ae4f-8089d02f1cda"/>
    <xsd:import namespace="4c34b15c-c02c-4e79-b353-8caca45ac0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70cca-4f68-4165-ae4f-8089d02f1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9178df0-2f15-4682-bb88-9b2f7e5e1d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4b15c-c02c-4e79-b353-8caca45ac00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8e45e3-fa92-479c-a4e0-c10202bfa97e}" ma:internalName="TaxCatchAll" ma:showField="CatchAllData" ma:web="4c34b15c-c02c-4e79-b353-8caca45ac0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395179-C742-4FDE-A977-5093657E6C16}"/>
</file>

<file path=customXml/itemProps2.xml><?xml version="1.0" encoding="utf-8"?>
<ds:datastoreItem xmlns:ds="http://schemas.openxmlformats.org/officeDocument/2006/customXml" ds:itemID="{19293F81-D029-46FE-8CC1-9890D5275ADE}"/>
</file>

<file path=customXml/itemProps3.xml><?xml version="1.0" encoding="utf-8"?>
<ds:datastoreItem xmlns:ds="http://schemas.openxmlformats.org/officeDocument/2006/customXml" ds:itemID="{45E2EC1B-69E6-4BAA-B1E9-0CF6BE43C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kiran nune</cp:lastModifiedBy>
  <cp:revision/>
  <dcterms:created xsi:type="dcterms:W3CDTF">2026-04-24T02:21:20Z</dcterms:created>
  <dcterms:modified xsi:type="dcterms:W3CDTF">2026-05-26T04:25:03Z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0x01010087E9F5DE00C4664B87F5FFDDF1FD135B</vt:lpwstr>
  </property>
  <property fmtid="{D5CDD505-2E9C-101B-9397-08002B2CF9AE}" pid="3" name="MediaServiceImageTags">
    <vt:lpwstr/>
  </property>
</Properties>
</file>